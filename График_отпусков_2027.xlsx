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comments2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График" sheetId="1" state="visible" r:id="rId3"/>
    <sheet name="Отпуска" sheetId="2" state="visible" r:id="rId4"/>
  </sheets>
  <definedNames>
    <definedName function="false" hidden="false" localSheetId="0" name="_xlnm.Print_Titles" vbProcedure="false">График!$A:$C,График!$4:$6</definedName>
    <definedName function="false" hidden="false" localSheetId="0" name="_xlnm.Print_Titles" vbProcedure="false">График!$4:$6,График!$A:$C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11" authorId="0">
      <text>
        <r>
          <rPr>
            <sz val="10"/>
            <rFont val="Arial"/>
            <family val="2"/>
          </rPr>
          <t xml:space="preserve">Число дней в году, когда в отпуске 2 и более человек.</t>
        </r>
      </text>
    </comment>
  </commentList>
</comments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D4" authorId="0">
      <text>
        <r>
          <rPr>
            <sz val="10"/>
            <rFont val="Arial"/>
            <family val="2"/>
          </rPr>
          <t xml:space="preserve">Окончание = начало + число календарных дней − 1. Праздники внутри отпуска не добавлены (по ст. 120 ТК РФ отпуск на них продлевается — при необходимости поправьте число дней).</t>
        </r>
      </text>
    </comment>
  </commentList>
</comments>
</file>

<file path=xl/sharedStrings.xml><?xml version="1.0" encoding="utf-8"?>
<sst xmlns="http://schemas.openxmlformats.org/spreadsheetml/2006/main" count="49" uniqueCount="31">
  <si>
    <t xml:space="preserve">График отпусков 2027 — по дням</t>
  </si>
  <si>
    <t xml:space="preserve">О — сотрудник в отпуске. Серые столбцы — выходные, красная дата — праздник. Строка «Отсутствуют» показывает, сколько человек нет в этот день (жёлтый — 2, красный — 3 и больше).</t>
  </si>
  <si>
    <t xml:space="preserve">Сотрудник</t>
  </si>
  <si>
    <t xml:space="preserve">Дней в графике</t>
  </si>
  <si>
    <t xml:space="preserve">Дней по плану</t>
  </si>
  <si>
    <t xml:space="preserve">Январь</t>
  </si>
  <si>
    <t xml:space="preserve">Февраль</t>
  </si>
  <si>
    <t xml:space="preserve">Март</t>
  </si>
  <si>
    <t xml:space="preserve">Апрель</t>
  </si>
  <si>
    <t xml:space="preserve">Май</t>
  </si>
  <si>
    <t xml:space="preserve">Июнь</t>
  </si>
  <si>
    <t xml:space="preserve">Июль</t>
  </si>
  <si>
    <t xml:space="preserve">Август</t>
  </si>
  <si>
    <t xml:space="preserve">Сентябрь</t>
  </si>
  <si>
    <t xml:space="preserve">Октябрь</t>
  </si>
  <si>
    <t xml:space="preserve">Ноябрь</t>
  </si>
  <si>
    <t xml:space="preserve">Декабрь</t>
  </si>
  <si>
    <t xml:space="preserve">Наташа 1</t>
  </si>
  <si>
    <t xml:space="preserve">Лиля</t>
  </si>
  <si>
    <t xml:space="preserve">Наташа 2</t>
  </si>
  <si>
    <t xml:space="preserve">Саша</t>
  </si>
  <si>
    <t xml:space="preserve">Отсутствуют</t>
  </si>
  <si>
    <t xml:space="preserve">дн. ≥2</t>
  </si>
  <si>
    <t xml:space="preserve">Периоды отпусков 2027</t>
  </si>
  <si>
    <t xml:space="preserve">Меняйте только синие ячейки (сотрудник, дата начала, число дней) — график пересчитается сам.</t>
  </si>
  <si>
    <t xml:space="preserve">Начало</t>
  </si>
  <si>
    <t xml:space="preserve">Дней</t>
  </si>
  <si>
    <t xml:space="preserve">Окончание</t>
  </si>
  <si>
    <t xml:space="preserve">Праздники 2027</t>
  </si>
  <si>
    <t xml:space="preserve">Итого по сотрудникам</t>
  </si>
  <si>
    <t xml:space="preserve">Источник: производственный календарь РФ (ст. 112 ТК РФ)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</si>
</sst>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d"/>
    <numFmt numFmtId="166" formatCode="General"/>
    <numFmt numFmtId="167" formatCode="0;;;"/>
    <numFmt numFmtId="168" formatCode="dd\.mm\.yyyy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color rgb="FF545862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8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8"/>
      <color rgb="FFFFFFFF"/>
      <name val="Arial"/>
      <family val="0"/>
      <charset val="1"/>
    </font>
    <font>
      <b val="true"/>
      <sz val="11"/>
      <color rgb="FFB42318"/>
      <name val="Arial"/>
      <family val="0"/>
      <charset val="1"/>
    </font>
    <font>
      <sz val="8"/>
      <color rgb="FF545862"/>
      <name val="Arial"/>
      <family val="0"/>
      <charset val="1"/>
    </font>
    <font>
      <b val="true"/>
      <sz val="8"/>
      <name val="Arial"/>
      <family val="0"/>
      <charset val="1"/>
    </font>
    <font>
      <sz val="10"/>
      <name val="Arial"/>
      <family val="2"/>
    </font>
    <font>
      <sz val="11"/>
      <color rgb="FF0000FF"/>
      <name val="Arial"/>
      <family val="0"/>
      <charset val="1"/>
    </font>
    <font>
      <sz val="11"/>
      <color rgb="FF000000"/>
      <name val="Arial"/>
      <family val="0"/>
      <charset val="1"/>
    </font>
    <font>
      <sz val="11"/>
      <name val="Arial"/>
      <family val="0"/>
      <charset val="1"/>
    </font>
    <font>
      <i val="true"/>
      <sz val="8"/>
      <color rgb="FF545862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2F3440"/>
        <bgColor rgb="FF333300"/>
      </patternFill>
    </fill>
    <fill>
      <patternFill patternType="solid">
        <fgColor rgb="FF454B59"/>
        <bgColor rgb="FF545862"/>
      </patternFill>
    </fill>
    <fill>
      <patternFill patternType="solid">
        <fgColor rgb="FF2A78D6"/>
        <bgColor rgb="FF0066CC"/>
      </patternFill>
    </fill>
    <fill>
      <patternFill patternType="solid">
        <fgColor rgb="FFEB6834"/>
        <bgColor rgb="FFE34948"/>
      </patternFill>
    </fill>
    <fill>
      <patternFill patternType="solid">
        <fgColor rgb="FF1BAF7A"/>
        <bgColor rgb="FF33CCCC"/>
      </patternFill>
    </fill>
    <fill>
      <patternFill patternType="solid">
        <fgColor rgb="FFEDA100"/>
        <bgColor rgb="FFFFCC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0CC"/>
      </left>
      <right style="thin">
        <color rgb="FFD0D0CC"/>
      </right>
      <top style="thin">
        <color rgb="FFD0D0CC"/>
      </top>
      <bottom style="thin">
        <color rgb="FFD0D0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3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>
          <bgColor rgb="FF2A78D6"/>
        </patternFill>
      </fill>
    </dxf>
    <dxf>
      <fill>
        <patternFill>
          <bgColor rgb="FFEB6834"/>
        </patternFill>
      </fill>
    </dxf>
    <dxf>
      <fill>
        <patternFill>
          <bgColor rgb="FF1BAF7A"/>
        </patternFill>
      </fill>
    </dxf>
    <dxf>
      <fill>
        <patternFill>
          <bgColor rgb="FFEDA100"/>
        </patternFill>
      </fill>
    </dxf>
    <dxf>
      <font>
        <b val="1"/>
        <color rgb="FFFFFFFF"/>
      </font>
      <fill>
        <patternFill>
          <bgColor rgb="FFE34948"/>
        </patternFill>
      </fill>
    </dxf>
    <dxf>
      <fill>
        <patternFill>
          <bgColor rgb="FFFFD966"/>
        </patternFill>
      </fill>
    </dxf>
    <dxf>
      <fill>
        <patternFill>
          <bgColor rgb="FFE3E3DE"/>
        </patternFill>
      </fill>
    </dxf>
    <dxf>
      <font>
        <b val="1"/>
        <color rgb="FFC0392B"/>
      </font>
      <fill>
        <patternFill>
          <bgColor rgb="FFFDE2D8"/>
        </patternFill>
      </fill>
    </dxf>
    <dxf>
      <fill>
        <patternFill>
          <bgColor rgb="FFE6E5E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0D0CC"/>
      <rgbColor rgb="FF808080"/>
      <rgbColor rgb="FF9999FF"/>
      <rgbColor rgb="FFC0392B"/>
      <rgbColor rgb="FFFDE2D8"/>
      <rgbColor rgb="FFCCFFFF"/>
      <rgbColor rgb="FF660066"/>
      <rgbColor rgb="FFFF8080"/>
      <rgbColor rgb="FF0066CC"/>
      <rgbColor rgb="FFE3E3D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6E5E0"/>
      <rgbColor rgb="FFFFFF99"/>
      <rgbColor rgb="FF99CCFF"/>
      <rgbColor rgb="FFFF99CC"/>
      <rgbColor rgb="FFCC99FF"/>
      <rgbColor rgb="FFFFD966"/>
      <rgbColor rgb="FF2A78D6"/>
      <rgbColor rgb="FF33CCCC"/>
      <rgbColor rgb="FF99CC00"/>
      <rgbColor rgb="FFFFCC00"/>
      <rgbColor rgb="FFEDA100"/>
      <rgbColor rgb="FFEB6834"/>
      <rgbColor rgb="FF545862"/>
      <rgbColor rgb="FF969696"/>
      <rgbColor rgb="FF003366"/>
      <rgbColor rgb="FF1BAF7A"/>
      <rgbColor rgb="FF003300"/>
      <rgbColor rgb="FF333300"/>
      <rgbColor rgb="FFB42318"/>
      <rgbColor rgb="FFE34948"/>
      <rgbColor rgb="FF454B59"/>
      <rgbColor rgb="FF2F34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ND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6" topLeftCell="D7" activePane="bottomRight" state="frozen"/>
      <selection pane="topLeft" activeCell="A1" activeCellId="0" sqref="A1"/>
      <selection pane="topRight" activeCell="D1" activeCellId="0" sqref="D1"/>
      <selection pane="bottomLeft" activeCell="A7" activeCellId="0" sqref="A7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3" min="2" style="0" width="8"/>
    <col collapsed="false" customWidth="true" hidden="false" outlineLevel="0" max="368" min="4" style="0" width="3.4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.75" hidden="false" customHeight="true" outlineLevel="0" collapsed="false">
      <c r="A4" s="3" t="s">
        <v>2</v>
      </c>
      <c r="B4" s="3" t="s">
        <v>3</v>
      </c>
      <c r="C4" s="3" t="s">
        <v>4</v>
      </c>
      <c r="D4" s="4" t="s">
        <v>5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5" t="s">
        <v>6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4" t="s">
        <v>7</v>
      </c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5" t="s">
        <v>8</v>
      </c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  <c r="DH4" s="5"/>
      <c r="DI4" s="5"/>
      <c r="DJ4" s="5"/>
      <c r="DK4" s="5"/>
      <c r="DL4" s="5"/>
      <c r="DM4" s="5"/>
      <c r="DN4" s="5"/>
      <c r="DO4" s="5"/>
      <c r="DP4" s="5"/>
      <c r="DQ4" s="5"/>
      <c r="DR4" s="5"/>
      <c r="DS4" s="5"/>
      <c r="DT4" s="4" t="s">
        <v>9</v>
      </c>
      <c r="DU4" s="4"/>
      <c r="DV4" s="4"/>
      <c r="DW4" s="4"/>
      <c r="DX4" s="4"/>
      <c r="DY4" s="4"/>
      <c r="DZ4" s="4"/>
      <c r="EA4" s="4"/>
      <c r="EB4" s="4"/>
      <c r="EC4" s="4"/>
      <c r="ED4" s="4"/>
      <c r="EE4" s="4"/>
      <c r="EF4" s="4"/>
      <c r="EG4" s="4"/>
      <c r="EH4" s="4"/>
      <c r="EI4" s="4"/>
      <c r="EJ4" s="4"/>
      <c r="EK4" s="4"/>
      <c r="EL4" s="4"/>
      <c r="EM4" s="4"/>
      <c r="EN4" s="4"/>
      <c r="EO4" s="4"/>
      <c r="EP4" s="4"/>
      <c r="EQ4" s="4"/>
      <c r="ER4" s="4"/>
      <c r="ES4" s="4"/>
      <c r="ET4" s="4"/>
      <c r="EU4" s="4"/>
      <c r="EV4" s="4"/>
      <c r="EW4" s="4"/>
      <c r="EX4" s="4"/>
      <c r="EY4" s="5" t="s">
        <v>10</v>
      </c>
      <c r="EZ4" s="5"/>
      <c r="FA4" s="5"/>
      <c r="FB4" s="5"/>
      <c r="FC4" s="5"/>
      <c r="FD4" s="5"/>
      <c r="FE4" s="5"/>
      <c r="FF4" s="5"/>
      <c r="FG4" s="5"/>
      <c r="FH4" s="5"/>
      <c r="FI4" s="5"/>
      <c r="FJ4" s="5"/>
      <c r="FK4" s="5"/>
      <c r="FL4" s="5"/>
      <c r="FM4" s="5"/>
      <c r="FN4" s="5"/>
      <c r="FO4" s="5"/>
      <c r="FP4" s="5"/>
      <c r="FQ4" s="5"/>
      <c r="FR4" s="5"/>
      <c r="FS4" s="5"/>
      <c r="FT4" s="5"/>
      <c r="FU4" s="5"/>
      <c r="FV4" s="5"/>
      <c r="FW4" s="5"/>
      <c r="FX4" s="5"/>
      <c r="FY4" s="5"/>
      <c r="FZ4" s="5"/>
      <c r="GA4" s="5"/>
      <c r="GB4" s="5"/>
      <c r="GC4" s="4" t="s">
        <v>11</v>
      </c>
      <c r="GD4" s="4"/>
      <c r="GE4" s="4"/>
      <c r="GF4" s="4"/>
      <c r="GG4" s="4"/>
      <c r="GH4" s="4"/>
      <c r="GI4" s="4"/>
      <c r="GJ4" s="4"/>
      <c r="GK4" s="4"/>
      <c r="GL4" s="4"/>
      <c r="GM4" s="4"/>
      <c r="GN4" s="4"/>
      <c r="GO4" s="4"/>
      <c r="GP4" s="4"/>
      <c r="GQ4" s="4"/>
      <c r="GR4" s="4"/>
      <c r="GS4" s="4"/>
      <c r="GT4" s="4"/>
      <c r="GU4" s="4"/>
      <c r="GV4" s="4"/>
      <c r="GW4" s="4"/>
      <c r="GX4" s="4"/>
      <c r="GY4" s="4"/>
      <c r="GZ4" s="4"/>
      <c r="HA4" s="4"/>
      <c r="HB4" s="4"/>
      <c r="HC4" s="4"/>
      <c r="HD4" s="4"/>
      <c r="HE4" s="4"/>
      <c r="HF4" s="4"/>
      <c r="HG4" s="4"/>
      <c r="HH4" s="5" t="s">
        <v>12</v>
      </c>
      <c r="HI4" s="5"/>
      <c r="HJ4" s="5"/>
      <c r="HK4" s="5"/>
      <c r="HL4" s="5"/>
      <c r="HM4" s="5"/>
      <c r="HN4" s="5"/>
      <c r="HO4" s="5"/>
      <c r="HP4" s="5"/>
      <c r="HQ4" s="5"/>
      <c r="HR4" s="5"/>
      <c r="HS4" s="5"/>
      <c r="HT4" s="5"/>
      <c r="HU4" s="5"/>
      <c r="HV4" s="5"/>
      <c r="HW4" s="5"/>
      <c r="HX4" s="5"/>
      <c r="HY4" s="5"/>
      <c r="HZ4" s="5"/>
      <c r="IA4" s="5"/>
      <c r="IB4" s="5"/>
      <c r="IC4" s="5"/>
      <c r="ID4" s="5"/>
      <c r="IE4" s="5"/>
      <c r="IF4" s="5"/>
      <c r="IG4" s="5"/>
      <c r="IH4" s="5"/>
      <c r="II4" s="5"/>
      <c r="IJ4" s="5"/>
      <c r="IK4" s="5"/>
      <c r="IL4" s="5"/>
      <c r="IM4" s="4" t="s">
        <v>13</v>
      </c>
      <c r="IN4" s="4"/>
      <c r="IO4" s="4"/>
      <c r="IP4" s="4"/>
      <c r="IQ4" s="4"/>
      <c r="IR4" s="4"/>
      <c r="IS4" s="4"/>
      <c r="IT4" s="4"/>
      <c r="IU4" s="4"/>
      <c r="IV4" s="4"/>
      <c r="IW4" s="4"/>
      <c r="IX4" s="4"/>
      <c r="IY4" s="4"/>
      <c r="IZ4" s="4"/>
      <c r="JA4" s="4"/>
      <c r="JB4" s="4"/>
      <c r="JC4" s="4"/>
      <c r="JD4" s="4"/>
      <c r="JE4" s="4"/>
      <c r="JF4" s="4"/>
      <c r="JG4" s="4"/>
      <c r="JH4" s="4"/>
      <c r="JI4" s="4"/>
      <c r="JJ4" s="4"/>
      <c r="JK4" s="4"/>
      <c r="JL4" s="4"/>
      <c r="JM4" s="4"/>
      <c r="JN4" s="4"/>
      <c r="JO4" s="4"/>
      <c r="JP4" s="4"/>
      <c r="JQ4" s="5" t="s">
        <v>14</v>
      </c>
      <c r="JR4" s="5"/>
      <c r="JS4" s="5"/>
      <c r="JT4" s="5"/>
      <c r="JU4" s="5"/>
      <c r="JV4" s="5"/>
      <c r="JW4" s="5"/>
      <c r="JX4" s="5"/>
      <c r="JY4" s="5"/>
      <c r="JZ4" s="5"/>
      <c r="KA4" s="5"/>
      <c r="KB4" s="5"/>
      <c r="KC4" s="5"/>
      <c r="KD4" s="5"/>
      <c r="KE4" s="5"/>
      <c r="KF4" s="5"/>
      <c r="KG4" s="5"/>
      <c r="KH4" s="5"/>
      <c r="KI4" s="5"/>
      <c r="KJ4" s="5"/>
      <c r="KK4" s="5"/>
      <c r="KL4" s="5"/>
      <c r="KM4" s="5"/>
      <c r="KN4" s="5"/>
      <c r="KO4" s="5"/>
      <c r="KP4" s="5"/>
      <c r="KQ4" s="5"/>
      <c r="KR4" s="5"/>
      <c r="KS4" s="5"/>
      <c r="KT4" s="5"/>
      <c r="KU4" s="5"/>
      <c r="KV4" s="4" t="s">
        <v>15</v>
      </c>
      <c r="KW4" s="4"/>
      <c r="KX4" s="4"/>
      <c r="KY4" s="4"/>
      <c r="KZ4" s="4"/>
      <c r="LA4" s="4"/>
      <c r="LB4" s="4"/>
      <c r="LC4" s="4"/>
      <c r="LD4" s="4"/>
      <c r="LE4" s="4"/>
      <c r="LF4" s="4"/>
      <c r="LG4" s="4"/>
      <c r="LH4" s="4"/>
      <c r="LI4" s="4"/>
      <c r="LJ4" s="4"/>
      <c r="LK4" s="4"/>
      <c r="LL4" s="4"/>
      <c r="LM4" s="4"/>
      <c r="LN4" s="4"/>
      <c r="LO4" s="4"/>
      <c r="LP4" s="4"/>
      <c r="LQ4" s="4"/>
      <c r="LR4" s="4"/>
      <c r="LS4" s="4"/>
      <c r="LT4" s="4"/>
      <c r="LU4" s="4"/>
      <c r="LV4" s="4"/>
      <c r="LW4" s="4"/>
      <c r="LX4" s="4"/>
      <c r="LY4" s="4"/>
      <c r="LZ4" s="5" t="s">
        <v>16</v>
      </c>
      <c r="MA4" s="5"/>
      <c r="MB4" s="5"/>
      <c r="MC4" s="5"/>
      <c r="MD4" s="5"/>
      <c r="ME4" s="5"/>
      <c r="MF4" s="5"/>
      <c r="MG4" s="5"/>
      <c r="MH4" s="5"/>
      <c r="MI4" s="5"/>
      <c r="MJ4" s="5"/>
      <c r="MK4" s="5"/>
      <c r="ML4" s="5"/>
      <c r="MM4" s="5"/>
      <c r="MN4" s="5"/>
      <c r="MO4" s="5"/>
      <c r="MP4" s="5"/>
      <c r="MQ4" s="5"/>
      <c r="MR4" s="5"/>
      <c r="MS4" s="5"/>
      <c r="MT4" s="5"/>
      <c r="MU4" s="5"/>
      <c r="MV4" s="5"/>
      <c r="MW4" s="5"/>
      <c r="MX4" s="5"/>
      <c r="MY4" s="5"/>
      <c r="MZ4" s="5"/>
      <c r="NA4" s="5"/>
      <c r="NB4" s="5"/>
      <c r="NC4" s="5"/>
      <c r="ND4" s="5"/>
    </row>
    <row r="5" customFormat="false" ht="15" hidden="false" customHeight="false" outlineLevel="0" collapsed="false">
      <c r="A5" s="3"/>
      <c r="B5" s="3"/>
      <c r="C5" s="3"/>
      <c r="D5" s="6" t="n">
        <f aca="false">DATE(2027,1,1)</f>
        <v>46388</v>
      </c>
      <c r="E5" s="6" t="n">
        <f aca="false">D5+1</f>
        <v>46389</v>
      </c>
      <c r="F5" s="6" t="n">
        <f aca="false">E5+1</f>
        <v>46390</v>
      </c>
      <c r="G5" s="6" t="n">
        <f aca="false">F5+1</f>
        <v>46391</v>
      </c>
      <c r="H5" s="6" t="n">
        <f aca="false">G5+1</f>
        <v>46392</v>
      </c>
      <c r="I5" s="6" t="n">
        <f aca="false">H5+1</f>
        <v>46393</v>
      </c>
      <c r="J5" s="6" t="n">
        <f aca="false">I5+1</f>
        <v>46394</v>
      </c>
      <c r="K5" s="6" t="n">
        <f aca="false">J5+1</f>
        <v>46395</v>
      </c>
      <c r="L5" s="6" t="n">
        <f aca="false">K5+1</f>
        <v>46396</v>
      </c>
      <c r="M5" s="6" t="n">
        <f aca="false">L5+1</f>
        <v>46397</v>
      </c>
      <c r="N5" s="6" t="n">
        <f aca="false">M5+1</f>
        <v>46398</v>
      </c>
      <c r="O5" s="6" t="n">
        <f aca="false">N5+1</f>
        <v>46399</v>
      </c>
      <c r="P5" s="6" t="n">
        <f aca="false">O5+1</f>
        <v>46400</v>
      </c>
      <c r="Q5" s="6" t="n">
        <f aca="false">P5+1</f>
        <v>46401</v>
      </c>
      <c r="R5" s="6" t="n">
        <f aca="false">Q5+1</f>
        <v>46402</v>
      </c>
      <c r="S5" s="6" t="n">
        <f aca="false">R5+1</f>
        <v>46403</v>
      </c>
      <c r="T5" s="6" t="n">
        <f aca="false">S5+1</f>
        <v>46404</v>
      </c>
      <c r="U5" s="6" t="n">
        <f aca="false">T5+1</f>
        <v>46405</v>
      </c>
      <c r="V5" s="6" t="n">
        <f aca="false">U5+1</f>
        <v>46406</v>
      </c>
      <c r="W5" s="6" t="n">
        <f aca="false">V5+1</f>
        <v>46407</v>
      </c>
      <c r="X5" s="6" t="n">
        <f aca="false">W5+1</f>
        <v>46408</v>
      </c>
      <c r="Y5" s="6" t="n">
        <f aca="false">X5+1</f>
        <v>46409</v>
      </c>
      <c r="Z5" s="6" t="n">
        <f aca="false">Y5+1</f>
        <v>46410</v>
      </c>
      <c r="AA5" s="6" t="n">
        <f aca="false">Z5+1</f>
        <v>46411</v>
      </c>
      <c r="AB5" s="6" t="n">
        <f aca="false">AA5+1</f>
        <v>46412</v>
      </c>
      <c r="AC5" s="6" t="n">
        <f aca="false">AB5+1</f>
        <v>46413</v>
      </c>
      <c r="AD5" s="6" t="n">
        <f aca="false">AC5+1</f>
        <v>46414</v>
      </c>
      <c r="AE5" s="6" t="n">
        <f aca="false">AD5+1</f>
        <v>46415</v>
      </c>
      <c r="AF5" s="6" t="n">
        <f aca="false">AE5+1</f>
        <v>46416</v>
      </c>
      <c r="AG5" s="6" t="n">
        <f aca="false">AF5+1</f>
        <v>46417</v>
      </c>
      <c r="AH5" s="6" t="n">
        <f aca="false">AG5+1</f>
        <v>46418</v>
      </c>
      <c r="AI5" s="6" t="n">
        <f aca="false">AH5+1</f>
        <v>46419</v>
      </c>
      <c r="AJ5" s="6" t="n">
        <f aca="false">AI5+1</f>
        <v>46420</v>
      </c>
      <c r="AK5" s="6" t="n">
        <f aca="false">AJ5+1</f>
        <v>46421</v>
      </c>
      <c r="AL5" s="6" t="n">
        <f aca="false">AK5+1</f>
        <v>46422</v>
      </c>
      <c r="AM5" s="6" t="n">
        <f aca="false">AL5+1</f>
        <v>46423</v>
      </c>
      <c r="AN5" s="6" t="n">
        <f aca="false">AM5+1</f>
        <v>46424</v>
      </c>
      <c r="AO5" s="6" t="n">
        <f aca="false">AN5+1</f>
        <v>46425</v>
      </c>
      <c r="AP5" s="6" t="n">
        <f aca="false">AO5+1</f>
        <v>46426</v>
      </c>
      <c r="AQ5" s="6" t="n">
        <f aca="false">AP5+1</f>
        <v>46427</v>
      </c>
      <c r="AR5" s="6" t="n">
        <f aca="false">AQ5+1</f>
        <v>46428</v>
      </c>
      <c r="AS5" s="6" t="n">
        <f aca="false">AR5+1</f>
        <v>46429</v>
      </c>
      <c r="AT5" s="6" t="n">
        <f aca="false">AS5+1</f>
        <v>46430</v>
      </c>
      <c r="AU5" s="6" t="n">
        <f aca="false">AT5+1</f>
        <v>46431</v>
      </c>
      <c r="AV5" s="6" t="n">
        <f aca="false">AU5+1</f>
        <v>46432</v>
      </c>
      <c r="AW5" s="6" t="n">
        <f aca="false">AV5+1</f>
        <v>46433</v>
      </c>
      <c r="AX5" s="6" t="n">
        <f aca="false">AW5+1</f>
        <v>46434</v>
      </c>
      <c r="AY5" s="6" t="n">
        <f aca="false">AX5+1</f>
        <v>46435</v>
      </c>
      <c r="AZ5" s="6" t="n">
        <f aca="false">AY5+1</f>
        <v>46436</v>
      </c>
      <c r="BA5" s="6" t="n">
        <f aca="false">AZ5+1</f>
        <v>46437</v>
      </c>
      <c r="BB5" s="6" t="n">
        <f aca="false">BA5+1</f>
        <v>46438</v>
      </c>
      <c r="BC5" s="6" t="n">
        <f aca="false">BB5+1</f>
        <v>46439</v>
      </c>
      <c r="BD5" s="6" t="n">
        <f aca="false">BC5+1</f>
        <v>46440</v>
      </c>
      <c r="BE5" s="6" t="n">
        <f aca="false">BD5+1</f>
        <v>46441</v>
      </c>
      <c r="BF5" s="6" t="n">
        <f aca="false">BE5+1</f>
        <v>46442</v>
      </c>
      <c r="BG5" s="6" t="n">
        <f aca="false">BF5+1</f>
        <v>46443</v>
      </c>
      <c r="BH5" s="6" t="n">
        <f aca="false">BG5+1</f>
        <v>46444</v>
      </c>
      <c r="BI5" s="6" t="n">
        <f aca="false">BH5+1</f>
        <v>46445</v>
      </c>
      <c r="BJ5" s="6" t="n">
        <f aca="false">BI5+1</f>
        <v>46446</v>
      </c>
      <c r="BK5" s="6" t="n">
        <f aca="false">BJ5+1</f>
        <v>46447</v>
      </c>
      <c r="BL5" s="6" t="n">
        <f aca="false">BK5+1</f>
        <v>46448</v>
      </c>
      <c r="BM5" s="6" t="n">
        <f aca="false">BL5+1</f>
        <v>46449</v>
      </c>
      <c r="BN5" s="6" t="n">
        <f aca="false">BM5+1</f>
        <v>46450</v>
      </c>
      <c r="BO5" s="6" t="n">
        <f aca="false">BN5+1</f>
        <v>46451</v>
      </c>
      <c r="BP5" s="6" t="n">
        <f aca="false">BO5+1</f>
        <v>46452</v>
      </c>
      <c r="BQ5" s="6" t="n">
        <f aca="false">BP5+1</f>
        <v>46453</v>
      </c>
      <c r="BR5" s="6" t="n">
        <f aca="false">BQ5+1</f>
        <v>46454</v>
      </c>
      <c r="BS5" s="6" t="n">
        <f aca="false">BR5+1</f>
        <v>46455</v>
      </c>
      <c r="BT5" s="6" t="n">
        <f aca="false">BS5+1</f>
        <v>46456</v>
      </c>
      <c r="BU5" s="6" t="n">
        <f aca="false">BT5+1</f>
        <v>46457</v>
      </c>
      <c r="BV5" s="6" t="n">
        <f aca="false">BU5+1</f>
        <v>46458</v>
      </c>
      <c r="BW5" s="6" t="n">
        <f aca="false">BV5+1</f>
        <v>46459</v>
      </c>
      <c r="BX5" s="6" t="n">
        <f aca="false">BW5+1</f>
        <v>46460</v>
      </c>
      <c r="BY5" s="6" t="n">
        <f aca="false">BX5+1</f>
        <v>46461</v>
      </c>
      <c r="BZ5" s="6" t="n">
        <f aca="false">BY5+1</f>
        <v>46462</v>
      </c>
      <c r="CA5" s="6" t="n">
        <f aca="false">BZ5+1</f>
        <v>46463</v>
      </c>
      <c r="CB5" s="6" t="n">
        <f aca="false">CA5+1</f>
        <v>46464</v>
      </c>
      <c r="CC5" s="6" t="n">
        <f aca="false">CB5+1</f>
        <v>46465</v>
      </c>
      <c r="CD5" s="6" t="n">
        <f aca="false">CC5+1</f>
        <v>46466</v>
      </c>
      <c r="CE5" s="6" t="n">
        <f aca="false">CD5+1</f>
        <v>46467</v>
      </c>
      <c r="CF5" s="6" t="n">
        <f aca="false">CE5+1</f>
        <v>46468</v>
      </c>
      <c r="CG5" s="6" t="n">
        <f aca="false">CF5+1</f>
        <v>46469</v>
      </c>
      <c r="CH5" s="6" t="n">
        <f aca="false">CG5+1</f>
        <v>46470</v>
      </c>
      <c r="CI5" s="6" t="n">
        <f aca="false">CH5+1</f>
        <v>46471</v>
      </c>
      <c r="CJ5" s="6" t="n">
        <f aca="false">CI5+1</f>
        <v>46472</v>
      </c>
      <c r="CK5" s="6" t="n">
        <f aca="false">CJ5+1</f>
        <v>46473</v>
      </c>
      <c r="CL5" s="6" t="n">
        <f aca="false">CK5+1</f>
        <v>46474</v>
      </c>
      <c r="CM5" s="6" t="n">
        <f aca="false">CL5+1</f>
        <v>46475</v>
      </c>
      <c r="CN5" s="6" t="n">
        <f aca="false">CM5+1</f>
        <v>46476</v>
      </c>
      <c r="CO5" s="6" t="n">
        <f aca="false">CN5+1</f>
        <v>46477</v>
      </c>
      <c r="CP5" s="6" t="n">
        <f aca="false">CO5+1</f>
        <v>46478</v>
      </c>
      <c r="CQ5" s="6" t="n">
        <f aca="false">CP5+1</f>
        <v>46479</v>
      </c>
      <c r="CR5" s="6" t="n">
        <f aca="false">CQ5+1</f>
        <v>46480</v>
      </c>
      <c r="CS5" s="6" t="n">
        <f aca="false">CR5+1</f>
        <v>46481</v>
      </c>
      <c r="CT5" s="6" t="n">
        <f aca="false">CS5+1</f>
        <v>46482</v>
      </c>
      <c r="CU5" s="6" t="n">
        <f aca="false">CT5+1</f>
        <v>46483</v>
      </c>
      <c r="CV5" s="6" t="n">
        <f aca="false">CU5+1</f>
        <v>46484</v>
      </c>
      <c r="CW5" s="6" t="n">
        <f aca="false">CV5+1</f>
        <v>46485</v>
      </c>
      <c r="CX5" s="6" t="n">
        <f aca="false">CW5+1</f>
        <v>46486</v>
      </c>
      <c r="CY5" s="6" t="n">
        <f aca="false">CX5+1</f>
        <v>46487</v>
      </c>
      <c r="CZ5" s="6" t="n">
        <f aca="false">CY5+1</f>
        <v>46488</v>
      </c>
      <c r="DA5" s="6" t="n">
        <f aca="false">CZ5+1</f>
        <v>46489</v>
      </c>
      <c r="DB5" s="6" t="n">
        <f aca="false">DA5+1</f>
        <v>46490</v>
      </c>
      <c r="DC5" s="6" t="n">
        <f aca="false">DB5+1</f>
        <v>46491</v>
      </c>
      <c r="DD5" s="6" t="n">
        <f aca="false">DC5+1</f>
        <v>46492</v>
      </c>
      <c r="DE5" s="6" t="n">
        <f aca="false">DD5+1</f>
        <v>46493</v>
      </c>
      <c r="DF5" s="6" t="n">
        <f aca="false">DE5+1</f>
        <v>46494</v>
      </c>
      <c r="DG5" s="6" t="n">
        <f aca="false">DF5+1</f>
        <v>46495</v>
      </c>
      <c r="DH5" s="6" t="n">
        <f aca="false">DG5+1</f>
        <v>46496</v>
      </c>
      <c r="DI5" s="6" t="n">
        <f aca="false">DH5+1</f>
        <v>46497</v>
      </c>
      <c r="DJ5" s="6" t="n">
        <f aca="false">DI5+1</f>
        <v>46498</v>
      </c>
      <c r="DK5" s="6" t="n">
        <f aca="false">DJ5+1</f>
        <v>46499</v>
      </c>
      <c r="DL5" s="6" t="n">
        <f aca="false">DK5+1</f>
        <v>46500</v>
      </c>
      <c r="DM5" s="6" t="n">
        <f aca="false">DL5+1</f>
        <v>46501</v>
      </c>
      <c r="DN5" s="6" t="n">
        <f aca="false">DM5+1</f>
        <v>46502</v>
      </c>
      <c r="DO5" s="6" t="n">
        <f aca="false">DN5+1</f>
        <v>46503</v>
      </c>
      <c r="DP5" s="6" t="n">
        <f aca="false">DO5+1</f>
        <v>46504</v>
      </c>
      <c r="DQ5" s="6" t="n">
        <f aca="false">DP5+1</f>
        <v>46505</v>
      </c>
      <c r="DR5" s="6" t="n">
        <f aca="false">DQ5+1</f>
        <v>46506</v>
      </c>
      <c r="DS5" s="6" t="n">
        <f aca="false">DR5+1</f>
        <v>46507</v>
      </c>
      <c r="DT5" s="6" t="n">
        <f aca="false">DS5+1</f>
        <v>46508</v>
      </c>
      <c r="DU5" s="6" t="n">
        <f aca="false">DT5+1</f>
        <v>46509</v>
      </c>
      <c r="DV5" s="6" t="n">
        <f aca="false">DU5+1</f>
        <v>46510</v>
      </c>
      <c r="DW5" s="6" t="n">
        <f aca="false">DV5+1</f>
        <v>46511</v>
      </c>
      <c r="DX5" s="6" t="n">
        <f aca="false">DW5+1</f>
        <v>46512</v>
      </c>
      <c r="DY5" s="6" t="n">
        <f aca="false">DX5+1</f>
        <v>46513</v>
      </c>
      <c r="DZ5" s="6" t="n">
        <f aca="false">DY5+1</f>
        <v>46514</v>
      </c>
      <c r="EA5" s="6" t="n">
        <f aca="false">DZ5+1</f>
        <v>46515</v>
      </c>
      <c r="EB5" s="6" t="n">
        <f aca="false">EA5+1</f>
        <v>46516</v>
      </c>
      <c r="EC5" s="6" t="n">
        <f aca="false">EB5+1</f>
        <v>46517</v>
      </c>
      <c r="ED5" s="6" t="n">
        <f aca="false">EC5+1</f>
        <v>46518</v>
      </c>
      <c r="EE5" s="6" t="n">
        <f aca="false">ED5+1</f>
        <v>46519</v>
      </c>
      <c r="EF5" s="6" t="n">
        <f aca="false">EE5+1</f>
        <v>46520</v>
      </c>
      <c r="EG5" s="6" t="n">
        <f aca="false">EF5+1</f>
        <v>46521</v>
      </c>
      <c r="EH5" s="6" t="n">
        <f aca="false">EG5+1</f>
        <v>46522</v>
      </c>
      <c r="EI5" s="6" t="n">
        <f aca="false">EH5+1</f>
        <v>46523</v>
      </c>
      <c r="EJ5" s="6" t="n">
        <f aca="false">EI5+1</f>
        <v>46524</v>
      </c>
      <c r="EK5" s="6" t="n">
        <f aca="false">EJ5+1</f>
        <v>46525</v>
      </c>
      <c r="EL5" s="6" t="n">
        <f aca="false">EK5+1</f>
        <v>46526</v>
      </c>
      <c r="EM5" s="6" t="n">
        <f aca="false">EL5+1</f>
        <v>46527</v>
      </c>
      <c r="EN5" s="6" t="n">
        <f aca="false">EM5+1</f>
        <v>46528</v>
      </c>
      <c r="EO5" s="6" t="n">
        <f aca="false">EN5+1</f>
        <v>46529</v>
      </c>
      <c r="EP5" s="6" t="n">
        <f aca="false">EO5+1</f>
        <v>46530</v>
      </c>
      <c r="EQ5" s="6" t="n">
        <f aca="false">EP5+1</f>
        <v>46531</v>
      </c>
      <c r="ER5" s="6" t="n">
        <f aca="false">EQ5+1</f>
        <v>46532</v>
      </c>
      <c r="ES5" s="6" t="n">
        <f aca="false">ER5+1</f>
        <v>46533</v>
      </c>
      <c r="ET5" s="6" t="n">
        <f aca="false">ES5+1</f>
        <v>46534</v>
      </c>
      <c r="EU5" s="6" t="n">
        <f aca="false">ET5+1</f>
        <v>46535</v>
      </c>
      <c r="EV5" s="6" t="n">
        <f aca="false">EU5+1</f>
        <v>46536</v>
      </c>
      <c r="EW5" s="6" t="n">
        <f aca="false">EV5+1</f>
        <v>46537</v>
      </c>
      <c r="EX5" s="6" t="n">
        <f aca="false">EW5+1</f>
        <v>46538</v>
      </c>
      <c r="EY5" s="6" t="n">
        <f aca="false">EX5+1</f>
        <v>46539</v>
      </c>
      <c r="EZ5" s="6" t="n">
        <f aca="false">EY5+1</f>
        <v>46540</v>
      </c>
      <c r="FA5" s="6" t="n">
        <f aca="false">EZ5+1</f>
        <v>46541</v>
      </c>
      <c r="FB5" s="6" t="n">
        <f aca="false">FA5+1</f>
        <v>46542</v>
      </c>
      <c r="FC5" s="6" t="n">
        <f aca="false">FB5+1</f>
        <v>46543</v>
      </c>
      <c r="FD5" s="6" t="n">
        <f aca="false">FC5+1</f>
        <v>46544</v>
      </c>
      <c r="FE5" s="6" t="n">
        <f aca="false">FD5+1</f>
        <v>46545</v>
      </c>
      <c r="FF5" s="6" t="n">
        <f aca="false">FE5+1</f>
        <v>46546</v>
      </c>
      <c r="FG5" s="6" t="n">
        <f aca="false">FF5+1</f>
        <v>46547</v>
      </c>
      <c r="FH5" s="6" t="n">
        <f aca="false">FG5+1</f>
        <v>46548</v>
      </c>
      <c r="FI5" s="6" t="n">
        <f aca="false">FH5+1</f>
        <v>46549</v>
      </c>
      <c r="FJ5" s="6" t="n">
        <f aca="false">FI5+1</f>
        <v>46550</v>
      </c>
      <c r="FK5" s="6" t="n">
        <f aca="false">FJ5+1</f>
        <v>46551</v>
      </c>
      <c r="FL5" s="6" t="n">
        <f aca="false">FK5+1</f>
        <v>46552</v>
      </c>
      <c r="FM5" s="6" t="n">
        <f aca="false">FL5+1</f>
        <v>46553</v>
      </c>
      <c r="FN5" s="6" t="n">
        <f aca="false">FM5+1</f>
        <v>46554</v>
      </c>
      <c r="FO5" s="6" t="n">
        <f aca="false">FN5+1</f>
        <v>46555</v>
      </c>
      <c r="FP5" s="6" t="n">
        <f aca="false">FO5+1</f>
        <v>46556</v>
      </c>
      <c r="FQ5" s="6" t="n">
        <f aca="false">FP5+1</f>
        <v>46557</v>
      </c>
      <c r="FR5" s="6" t="n">
        <f aca="false">FQ5+1</f>
        <v>46558</v>
      </c>
      <c r="FS5" s="6" t="n">
        <f aca="false">FR5+1</f>
        <v>46559</v>
      </c>
      <c r="FT5" s="6" t="n">
        <f aca="false">FS5+1</f>
        <v>46560</v>
      </c>
      <c r="FU5" s="6" t="n">
        <f aca="false">FT5+1</f>
        <v>46561</v>
      </c>
      <c r="FV5" s="6" t="n">
        <f aca="false">FU5+1</f>
        <v>46562</v>
      </c>
      <c r="FW5" s="6" t="n">
        <f aca="false">FV5+1</f>
        <v>46563</v>
      </c>
      <c r="FX5" s="6" t="n">
        <f aca="false">FW5+1</f>
        <v>46564</v>
      </c>
      <c r="FY5" s="6" t="n">
        <f aca="false">FX5+1</f>
        <v>46565</v>
      </c>
      <c r="FZ5" s="6" t="n">
        <f aca="false">FY5+1</f>
        <v>46566</v>
      </c>
      <c r="GA5" s="6" t="n">
        <f aca="false">FZ5+1</f>
        <v>46567</v>
      </c>
      <c r="GB5" s="6" t="n">
        <f aca="false">GA5+1</f>
        <v>46568</v>
      </c>
      <c r="GC5" s="6" t="n">
        <f aca="false">GB5+1</f>
        <v>46569</v>
      </c>
      <c r="GD5" s="6" t="n">
        <f aca="false">GC5+1</f>
        <v>46570</v>
      </c>
      <c r="GE5" s="6" t="n">
        <f aca="false">GD5+1</f>
        <v>46571</v>
      </c>
      <c r="GF5" s="6" t="n">
        <f aca="false">GE5+1</f>
        <v>46572</v>
      </c>
      <c r="GG5" s="6" t="n">
        <f aca="false">GF5+1</f>
        <v>46573</v>
      </c>
      <c r="GH5" s="6" t="n">
        <f aca="false">GG5+1</f>
        <v>46574</v>
      </c>
      <c r="GI5" s="6" t="n">
        <f aca="false">GH5+1</f>
        <v>46575</v>
      </c>
      <c r="GJ5" s="6" t="n">
        <f aca="false">GI5+1</f>
        <v>46576</v>
      </c>
      <c r="GK5" s="6" t="n">
        <f aca="false">GJ5+1</f>
        <v>46577</v>
      </c>
      <c r="GL5" s="6" t="n">
        <f aca="false">GK5+1</f>
        <v>46578</v>
      </c>
      <c r="GM5" s="6" t="n">
        <f aca="false">GL5+1</f>
        <v>46579</v>
      </c>
      <c r="GN5" s="6" t="n">
        <f aca="false">GM5+1</f>
        <v>46580</v>
      </c>
      <c r="GO5" s="6" t="n">
        <f aca="false">GN5+1</f>
        <v>46581</v>
      </c>
      <c r="GP5" s="6" t="n">
        <f aca="false">GO5+1</f>
        <v>46582</v>
      </c>
      <c r="GQ5" s="6" t="n">
        <f aca="false">GP5+1</f>
        <v>46583</v>
      </c>
      <c r="GR5" s="6" t="n">
        <f aca="false">GQ5+1</f>
        <v>46584</v>
      </c>
      <c r="GS5" s="6" t="n">
        <f aca="false">GR5+1</f>
        <v>46585</v>
      </c>
      <c r="GT5" s="6" t="n">
        <f aca="false">GS5+1</f>
        <v>46586</v>
      </c>
      <c r="GU5" s="6" t="n">
        <f aca="false">GT5+1</f>
        <v>46587</v>
      </c>
      <c r="GV5" s="6" t="n">
        <f aca="false">GU5+1</f>
        <v>46588</v>
      </c>
      <c r="GW5" s="6" t="n">
        <f aca="false">GV5+1</f>
        <v>46589</v>
      </c>
      <c r="GX5" s="6" t="n">
        <f aca="false">GW5+1</f>
        <v>46590</v>
      </c>
      <c r="GY5" s="6" t="n">
        <f aca="false">GX5+1</f>
        <v>46591</v>
      </c>
      <c r="GZ5" s="6" t="n">
        <f aca="false">GY5+1</f>
        <v>46592</v>
      </c>
      <c r="HA5" s="6" t="n">
        <f aca="false">GZ5+1</f>
        <v>46593</v>
      </c>
      <c r="HB5" s="6" t="n">
        <f aca="false">HA5+1</f>
        <v>46594</v>
      </c>
      <c r="HC5" s="6" t="n">
        <f aca="false">HB5+1</f>
        <v>46595</v>
      </c>
      <c r="HD5" s="6" t="n">
        <f aca="false">HC5+1</f>
        <v>46596</v>
      </c>
      <c r="HE5" s="6" t="n">
        <f aca="false">HD5+1</f>
        <v>46597</v>
      </c>
      <c r="HF5" s="6" t="n">
        <f aca="false">HE5+1</f>
        <v>46598</v>
      </c>
      <c r="HG5" s="6" t="n">
        <f aca="false">HF5+1</f>
        <v>46599</v>
      </c>
      <c r="HH5" s="6" t="n">
        <f aca="false">HG5+1</f>
        <v>46600</v>
      </c>
      <c r="HI5" s="6" t="n">
        <f aca="false">HH5+1</f>
        <v>46601</v>
      </c>
      <c r="HJ5" s="6" t="n">
        <f aca="false">HI5+1</f>
        <v>46602</v>
      </c>
      <c r="HK5" s="6" t="n">
        <f aca="false">HJ5+1</f>
        <v>46603</v>
      </c>
      <c r="HL5" s="6" t="n">
        <f aca="false">HK5+1</f>
        <v>46604</v>
      </c>
      <c r="HM5" s="6" t="n">
        <f aca="false">HL5+1</f>
        <v>46605</v>
      </c>
      <c r="HN5" s="6" t="n">
        <f aca="false">HM5+1</f>
        <v>46606</v>
      </c>
      <c r="HO5" s="6" t="n">
        <f aca="false">HN5+1</f>
        <v>46607</v>
      </c>
      <c r="HP5" s="6" t="n">
        <f aca="false">HO5+1</f>
        <v>46608</v>
      </c>
      <c r="HQ5" s="6" t="n">
        <f aca="false">HP5+1</f>
        <v>46609</v>
      </c>
      <c r="HR5" s="6" t="n">
        <f aca="false">HQ5+1</f>
        <v>46610</v>
      </c>
      <c r="HS5" s="6" t="n">
        <f aca="false">HR5+1</f>
        <v>46611</v>
      </c>
      <c r="HT5" s="6" t="n">
        <f aca="false">HS5+1</f>
        <v>46612</v>
      </c>
      <c r="HU5" s="6" t="n">
        <f aca="false">HT5+1</f>
        <v>46613</v>
      </c>
      <c r="HV5" s="6" t="n">
        <f aca="false">HU5+1</f>
        <v>46614</v>
      </c>
      <c r="HW5" s="6" t="n">
        <f aca="false">HV5+1</f>
        <v>46615</v>
      </c>
      <c r="HX5" s="6" t="n">
        <f aca="false">HW5+1</f>
        <v>46616</v>
      </c>
      <c r="HY5" s="6" t="n">
        <f aca="false">HX5+1</f>
        <v>46617</v>
      </c>
      <c r="HZ5" s="6" t="n">
        <f aca="false">HY5+1</f>
        <v>46618</v>
      </c>
      <c r="IA5" s="6" t="n">
        <f aca="false">HZ5+1</f>
        <v>46619</v>
      </c>
      <c r="IB5" s="6" t="n">
        <f aca="false">IA5+1</f>
        <v>46620</v>
      </c>
      <c r="IC5" s="6" t="n">
        <f aca="false">IB5+1</f>
        <v>46621</v>
      </c>
      <c r="ID5" s="6" t="n">
        <f aca="false">IC5+1</f>
        <v>46622</v>
      </c>
      <c r="IE5" s="6" t="n">
        <f aca="false">ID5+1</f>
        <v>46623</v>
      </c>
      <c r="IF5" s="6" t="n">
        <f aca="false">IE5+1</f>
        <v>46624</v>
      </c>
      <c r="IG5" s="6" t="n">
        <f aca="false">IF5+1</f>
        <v>46625</v>
      </c>
      <c r="IH5" s="6" t="n">
        <f aca="false">IG5+1</f>
        <v>46626</v>
      </c>
      <c r="II5" s="6" t="n">
        <f aca="false">IH5+1</f>
        <v>46627</v>
      </c>
      <c r="IJ5" s="6" t="n">
        <f aca="false">II5+1</f>
        <v>46628</v>
      </c>
      <c r="IK5" s="6" t="n">
        <f aca="false">IJ5+1</f>
        <v>46629</v>
      </c>
      <c r="IL5" s="6" t="n">
        <f aca="false">IK5+1</f>
        <v>46630</v>
      </c>
      <c r="IM5" s="6" t="n">
        <f aca="false">IL5+1</f>
        <v>46631</v>
      </c>
      <c r="IN5" s="6" t="n">
        <f aca="false">IM5+1</f>
        <v>46632</v>
      </c>
      <c r="IO5" s="6" t="n">
        <f aca="false">IN5+1</f>
        <v>46633</v>
      </c>
      <c r="IP5" s="6" t="n">
        <f aca="false">IO5+1</f>
        <v>46634</v>
      </c>
      <c r="IQ5" s="6" t="n">
        <f aca="false">IP5+1</f>
        <v>46635</v>
      </c>
      <c r="IR5" s="6" t="n">
        <f aca="false">IQ5+1</f>
        <v>46636</v>
      </c>
      <c r="IS5" s="6" t="n">
        <f aca="false">IR5+1</f>
        <v>46637</v>
      </c>
      <c r="IT5" s="6" t="n">
        <f aca="false">IS5+1</f>
        <v>46638</v>
      </c>
      <c r="IU5" s="6" t="n">
        <f aca="false">IT5+1</f>
        <v>46639</v>
      </c>
      <c r="IV5" s="6" t="n">
        <f aca="false">IU5+1</f>
        <v>46640</v>
      </c>
      <c r="IW5" s="6" t="n">
        <f aca="false">IV5+1</f>
        <v>46641</v>
      </c>
      <c r="IX5" s="6" t="n">
        <f aca="false">IW5+1</f>
        <v>46642</v>
      </c>
      <c r="IY5" s="6" t="n">
        <f aca="false">IX5+1</f>
        <v>46643</v>
      </c>
      <c r="IZ5" s="6" t="n">
        <f aca="false">IY5+1</f>
        <v>46644</v>
      </c>
      <c r="JA5" s="6" t="n">
        <f aca="false">IZ5+1</f>
        <v>46645</v>
      </c>
      <c r="JB5" s="6" t="n">
        <f aca="false">JA5+1</f>
        <v>46646</v>
      </c>
      <c r="JC5" s="6" t="n">
        <f aca="false">JB5+1</f>
        <v>46647</v>
      </c>
      <c r="JD5" s="6" t="n">
        <f aca="false">JC5+1</f>
        <v>46648</v>
      </c>
      <c r="JE5" s="6" t="n">
        <f aca="false">JD5+1</f>
        <v>46649</v>
      </c>
      <c r="JF5" s="6" t="n">
        <f aca="false">JE5+1</f>
        <v>46650</v>
      </c>
      <c r="JG5" s="6" t="n">
        <f aca="false">JF5+1</f>
        <v>46651</v>
      </c>
      <c r="JH5" s="6" t="n">
        <f aca="false">JG5+1</f>
        <v>46652</v>
      </c>
      <c r="JI5" s="6" t="n">
        <f aca="false">JH5+1</f>
        <v>46653</v>
      </c>
      <c r="JJ5" s="6" t="n">
        <f aca="false">JI5+1</f>
        <v>46654</v>
      </c>
      <c r="JK5" s="6" t="n">
        <f aca="false">JJ5+1</f>
        <v>46655</v>
      </c>
      <c r="JL5" s="6" t="n">
        <f aca="false">JK5+1</f>
        <v>46656</v>
      </c>
      <c r="JM5" s="6" t="n">
        <f aca="false">JL5+1</f>
        <v>46657</v>
      </c>
      <c r="JN5" s="6" t="n">
        <f aca="false">JM5+1</f>
        <v>46658</v>
      </c>
      <c r="JO5" s="6" t="n">
        <f aca="false">JN5+1</f>
        <v>46659</v>
      </c>
      <c r="JP5" s="6" t="n">
        <f aca="false">JO5+1</f>
        <v>46660</v>
      </c>
      <c r="JQ5" s="6" t="n">
        <f aca="false">JP5+1</f>
        <v>46661</v>
      </c>
      <c r="JR5" s="6" t="n">
        <f aca="false">JQ5+1</f>
        <v>46662</v>
      </c>
      <c r="JS5" s="6" t="n">
        <f aca="false">JR5+1</f>
        <v>46663</v>
      </c>
      <c r="JT5" s="6" t="n">
        <f aca="false">JS5+1</f>
        <v>46664</v>
      </c>
      <c r="JU5" s="6" t="n">
        <f aca="false">JT5+1</f>
        <v>46665</v>
      </c>
      <c r="JV5" s="6" t="n">
        <f aca="false">JU5+1</f>
        <v>46666</v>
      </c>
      <c r="JW5" s="6" t="n">
        <f aca="false">JV5+1</f>
        <v>46667</v>
      </c>
      <c r="JX5" s="6" t="n">
        <f aca="false">JW5+1</f>
        <v>46668</v>
      </c>
      <c r="JY5" s="6" t="n">
        <f aca="false">JX5+1</f>
        <v>46669</v>
      </c>
      <c r="JZ5" s="6" t="n">
        <f aca="false">JY5+1</f>
        <v>46670</v>
      </c>
      <c r="KA5" s="6" t="n">
        <f aca="false">JZ5+1</f>
        <v>46671</v>
      </c>
      <c r="KB5" s="6" t="n">
        <f aca="false">KA5+1</f>
        <v>46672</v>
      </c>
      <c r="KC5" s="6" t="n">
        <f aca="false">KB5+1</f>
        <v>46673</v>
      </c>
      <c r="KD5" s="6" t="n">
        <f aca="false">KC5+1</f>
        <v>46674</v>
      </c>
      <c r="KE5" s="6" t="n">
        <f aca="false">KD5+1</f>
        <v>46675</v>
      </c>
      <c r="KF5" s="6" t="n">
        <f aca="false">KE5+1</f>
        <v>46676</v>
      </c>
      <c r="KG5" s="6" t="n">
        <f aca="false">KF5+1</f>
        <v>46677</v>
      </c>
      <c r="KH5" s="6" t="n">
        <f aca="false">KG5+1</f>
        <v>46678</v>
      </c>
      <c r="KI5" s="6" t="n">
        <f aca="false">KH5+1</f>
        <v>46679</v>
      </c>
      <c r="KJ5" s="6" t="n">
        <f aca="false">KI5+1</f>
        <v>46680</v>
      </c>
      <c r="KK5" s="6" t="n">
        <f aca="false">KJ5+1</f>
        <v>46681</v>
      </c>
      <c r="KL5" s="6" t="n">
        <f aca="false">KK5+1</f>
        <v>46682</v>
      </c>
      <c r="KM5" s="6" t="n">
        <f aca="false">KL5+1</f>
        <v>46683</v>
      </c>
      <c r="KN5" s="6" t="n">
        <f aca="false">KM5+1</f>
        <v>46684</v>
      </c>
      <c r="KO5" s="6" t="n">
        <f aca="false">KN5+1</f>
        <v>46685</v>
      </c>
      <c r="KP5" s="6" t="n">
        <f aca="false">KO5+1</f>
        <v>46686</v>
      </c>
      <c r="KQ5" s="6" t="n">
        <f aca="false">KP5+1</f>
        <v>46687</v>
      </c>
      <c r="KR5" s="6" t="n">
        <f aca="false">KQ5+1</f>
        <v>46688</v>
      </c>
      <c r="KS5" s="6" t="n">
        <f aca="false">KR5+1</f>
        <v>46689</v>
      </c>
      <c r="KT5" s="6" t="n">
        <f aca="false">KS5+1</f>
        <v>46690</v>
      </c>
      <c r="KU5" s="6" t="n">
        <f aca="false">KT5+1</f>
        <v>46691</v>
      </c>
      <c r="KV5" s="6" t="n">
        <f aca="false">KU5+1</f>
        <v>46692</v>
      </c>
      <c r="KW5" s="6" t="n">
        <f aca="false">KV5+1</f>
        <v>46693</v>
      </c>
      <c r="KX5" s="6" t="n">
        <f aca="false">KW5+1</f>
        <v>46694</v>
      </c>
      <c r="KY5" s="6" t="n">
        <f aca="false">KX5+1</f>
        <v>46695</v>
      </c>
      <c r="KZ5" s="6" t="n">
        <f aca="false">KY5+1</f>
        <v>46696</v>
      </c>
      <c r="LA5" s="6" t="n">
        <f aca="false">KZ5+1</f>
        <v>46697</v>
      </c>
      <c r="LB5" s="6" t="n">
        <f aca="false">LA5+1</f>
        <v>46698</v>
      </c>
      <c r="LC5" s="6" t="n">
        <f aca="false">LB5+1</f>
        <v>46699</v>
      </c>
      <c r="LD5" s="6" t="n">
        <f aca="false">LC5+1</f>
        <v>46700</v>
      </c>
      <c r="LE5" s="6" t="n">
        <f aca="false">LD5+1</f>
        <v>46701</v>
      </c>
      <c r="LF5" s="6" t="n">
        <f aca="false">LE5+1</f>
        <v>46702</v>
      </c>
      <c r="LG5" s="6" t="n">
        <f aca="false">LF5+1</f>
        <v>46703</v>
      </c>
      <c r="LH5" s="6" t="n">
        <f aca="false">LG5+1</f>
        <v>46704</v>
      </c>
      <c r="LI5" s="6" t="n">
        <f aca="false">LH5+1</f>
        <v>46705</v>
      </c>
      <c r="LJ5" s="6" t="n">
        <f aca="false">LI5+1</f>
        <v>46706</v>
      </c>
      <c r="LK5" s="6" t="n">
        <f aca="false">LJ5+1</f>
        <v>46707</v>
      </c>
      <c r="LL5" s="6" t="n">
        <f aca="false">LK5+1</f>
        <v>46708</v>
      </c>
      <c r="LM5" s="6" t="n">
        <f aca="false">LL5+1</f>
        <v>46709</v>
      </c>
      <c r="LN5" s="6" t="n">
        <f aca="false">LM5+1</f>
        <v>46710</v>
      </c>
      <c r="LO5" s="6" t="n">
        <f aca="false">LN5+1</f>
        <v>46711</v>
      </c>
      <c r="LP5" s="6" t="n">
        <f aca="false">LO5+1</f>
        <v>46712</v>
      </c>
      <c r="LQ5" s="6" t="n">
        <f aca="false">LP5+1</f>
        <v>46713</v>
      </c>
      <c r="LR5" s="6" t="n">
        <f aca="false">LQ5+1</f>
        <v>46714</v>
      </c>
      <c r="LS5" s="6" t="n">
        <f aca="false">LR5+1</f>
        <v>46715</v>
      </c>
      <c r="LT5" s="6" t="n">
        <f aca="false">LS5+1</f>
        <v>46716</v>
      </c>
      <c r="LU5" s="6" t="n">
        <f aca="false">LT5+1</f>
        <v>46717</v>
      </c>
      <c r="LV5" s="6" t="n">
        <f aca="false">LU5+1</f>
        <v>46718</v>
      </c>
      <c r="LW5" s="6" t="n">
        <f aca="false">LV5+1</f>
        <v>46719</v>
      </c>
      <c r="LX5" s="6" t="n">
        <f aca="false">LW5+1</f>
        <v>46720</v>
      </c>
      <c r="LY5" s="6" t="n">
        <f aca="false">LX5+1</f>
        <v>46721</v>
      </c>
      <c r="LZ5" s="6" t="n">
        <f aca="false">LY5+1</f>
        <v>46722</v>
      </c>
      <c r="MA5" s="6" t="n">
        <f aca="false">LZ5+1</f>
        <v>46723</v>
      </c>
      <c r="MB5" s="6" t="n">
        <f aca="false">MA5+1</f>
        <v>46724</v>
      </c>
      <c r="MC5" s="6" t="n">
        <f aca="false">MB5+1</f>
        <v>46725</v>
      </c>
      <c r="MD5" s="6" t="n">
        <f aca="false">MC5+1</f>
        <v>46726</v>
      </c>
      <c r="ME5" s="6" t="n">
        <f aca="false">MD5+1</f>
        <v>46727</v>
      </c>
      <c r="MF5" s="6" t="n">
        <f aca="false">ME5+1</f>
        <v>46728</v>
      </c>
      <c r="MG5" s="6" t="n">
        <f aca="false">MF5+1</f>
        <v>46729</v>
      </c>
      <c r="MH5" s="6" t="n">
        <f aca="false">MG5+1</f>
        <v>46730</v>
      </c>
      <c r="MI5" s="6" t="n">
        <f aca="false">MH5+1</f>
        <v>46731</v>
      </c>
      <c r="MJ5" s="6" t="n">
        <f aca="false">MI5+1</f>
        <v>46732</v>
      </c>
      <c r="MK5" s="6" t="n">
        <f aca="false">MJ5+1</f>
        <v>46733</v>
      </c>
      <c r="ML5" s="6" t="n">
        <f aca="false">MK5+1</f>
        <v>46734</v>
      </c>
      <c r="MM5" s="6" t="n">
        <f aca="false">ML5+1</f>
        <v>46735</v>
      </c>
      <c r="MN5" s="6" t="n">
        <f aca="false">MM5+1</f>
        <v>46736</v>
      </c>
      <c r="MO5" s="6" t="n">
        <f aca="false">MN5+1</f>
        <v>46737</v>
      </c>
      <c r="MP5" s="6" t="n">
        <f aca="false">MO5+1</f>
        <v>46738</v>
      </c>
      <c r="MQ5" s="6" t="n">
        <f aca="false">MP5+1</f>
        <v>46739</v>
      </c>
      <c r="MR5" s="6" t="n">
        <f aca="false">MQ5+1</f>
        <v>46740</v>
      </c>
      <c r="MS5" s="6" t="n">
        <f aca="false">MR5+1</f>
        <v>46741</v>
      </c>
      <c r="MT5" s="6" t="n">
        <f aca="false">MS5+1</f>
        <v>46742</v>
      </c>
      <c r="MU5" s="6" t="n">
        <f aca="false">MT5+1</f>
        <v>46743</v>
      </c>
      <c r="MV5" s="6" t="n">
        <f aca="false">MU5+1</f>
        <v>46744</v>
      </c>
      <c r="MW5" s="6" t="n">
        <f aca="false">MV5+1</f>
        <v>46745</v>
      </c>
      <c r="MX5" s="6" t="n">
        <f aca="false">MW5+1</f>
        <v>46746</v>
      </c>
      <c r="MY5" s="6" t="n">
        <f aca="false">MX5+1</f>
        <v>46747</v>
      </c>
      <c r="MZ5" s="6" t="n">
        <f aca="false">MY5+1</f>
        <v>46748</v>
      </c>
      <c r="NA5" s="6" t="n">
        <f aca="false">MZ5+1</f>
        <v>46749</v>
      </c>
      <c r="NB5" s="6" t="n">
        <f aca="false">NA5+1</f>
        <v>46750</v>
      </c>
      <c r="NC5" s="6" t="n">
        <f aca="false">NB5+1</f>
        <v>46751</v>
      </c>
      <c r="ND5" s="6" t="n">
        <f aca="false">NC5+1</f>
        <v>46752</v>
      </c>
    </row>
    <row r="6" customFormat="false" ht="15" hidden="false" customHeight="false" outlineLevel="0" collapsed="false">
      <c r="A6" s="3"/>
      <c r="B6" s="3"/>
      <c r="C6" s="3"/>
      <c r="D6" s="7" t="str">
        <f aca="false">CHOOSE(WEEKDAY(D5,2),"пн","вт","ср","чт","пт","сб","вс")</f>
        <v>пт</v>
      </c>
      <c r="E6" s="7" t="str">
        <f aca="false">CHOOSE(WEEKDAY(E5,2),"пн","вт","ср","чт","пт","сб","вс")</f>
        <v>сб</v>
      </c>
      <c r="F6" s="7" t="str">
        <f aca="false">CHOOSE(WEEKDAY(F5,2),"пн","вт","ср","чт","пт","сб","вс")</f>
        <v>вс</v>
      </c>
      <c r="G6" s="7" t="str">
        <f aca="false">CHOOSE(WEEKDAY(G5,2),"пн","вт","ср","чт","пт","сб","вс")</f>
        <v>пн</v>
      </c>
      <c r="H6" s="7" t="str">
        <f aca="false">CHOOSE(WEEKDAY(H5,2),"пн","вт","ср","чт","пт","сб","вс")</f>
        <v>вт</v>
      </c>
      <c r="I6" s="7" t="str">
        <f aca="false">CHOOSE(WEEKDAY(I5,2),"пн","вт","ср","чт","пт","сб","вс")</f>
        <v>ср</v>
      </c>
      <c r="J6" s="7" t="str">
        <f aca="false">CHOOSE(WEEKDAY(J5,2),"пн","вт","ср","чт","пт","сб","вс")</f>
        <v>чт</v>
      </c>
      <c r="K6" s="7" t="str">
        <f aca="false">CHOOSE(WEEKDAY(K5,2),"пн","вт","ср","чт","пт","сб","вс")</f>
        <v>пт</v>
      </c>
      <c r="L6" s="7" t="str">
        <f aca="false">CHOOSE(WEEKDAY(L5,2),"пн","вт","ср","чт","пт","сб","вс")</f>
        <v>сб</v>
      </c>
      <c r="M6" s="7" t="str">
        <f aca="false">CHOOSE(WEEKDAY(M5,2),"пн","вт","ср","чт","пт","сб","вс")</f>
        <v>вс</v>
      </c>
      <c r="N6" s="7" t="str">
        <f aca="false">CHOOSE(WEEKDAY(N5,2),"пн","вт","ср","чт","пт","сб","вс")</f>
        <v>пн</v>
      </c>
      <c r="O6" s="7" t="str">
        <f aca="false">CHOOSE(WEEKDAY(O5,2),"пн","вт","ср","чт","пт","сб","вс")</f>
        <v>вт</v>
      </c>
      <c r="P6" s="7" t="str">
        <f aca="false">CHOOSE(WEEKDAY(P5,2),"пн","вт","ср","чт","пт","сб","вс")</f>
        <v>ср</v>
      </c>
      <c r="Q6" s="7" t="str">
        <f aca="false">CHOOSE(WEEKDAY(Q5,2),"пн","вт","ср","чт","пт","сб","вс")</f>
        <v>чт</v>
      </c>
      <c r="R6" s="7" t="str">
        <f aca="false">CHOOSE(WEEKDAY(R5,2),"пн","вт","ср","чт","пт","сб","вс")</f>
        <v>пт</v>
      </c>
      <c r="S6" s="7" t="str">
        <f aca="false">CHOOSE(WEEKDAY(S5,2),"пн","вт","ср","чт","пт","сб","вс")</f>
        <v>сб</v>
      </c>
      <c r="T6" s="7" t="str">
        <f aca="false">CHOOSE(WEEKDAY(T5,2),"пн","вт","ср","чт","пт","сб","вс")</f>
        <v>вс</v>
      </c>
      <c r="U6" s="7" t="str">
        <f aca="false">CHOOSE(WEEKDAY(U5,2),"пн","вт","ср","чт","пт","сб","вс")</f>
        <v>пн</v>
      </c>
      <c r="V6" s="7" t="str">
        <f aca="false">CHOOSE(WEEKDAY(V5,2),"пн","вт","ср","чт","пт","сб","вс")</f>
        <v>вт</v>
      </c>
      <c r="W6" s="7" t="str">
        <f aca="false">CHOOSE(WEEKDAY(W5,2),"пн","вт","ср","чт","пт","сб","вс")</f>
        <v>ср</v>
      </c>
      <c r="X6" s="7" t="str">
        <f aca="false">CHOOSE(WEEKDAY(X5,2),"пн","вт","ср","чт","пт","сб","вс")</f>
        <v>чт</v>
      </c>
      <c r="Y6" s="7" t="str">
        <f aca="false">CHOOSE(WEEKDAY(Y5,2),"пн","вт","ср","чт","пт","сб","вс")</f>
        <v>пт</v>
      </c>
      <c r="Z6" s="7" t="str">
        <f aca="false">CHOOSE(WEEKDAY(Z5,2),"пн","вт","ср","чт","пт","сб","вс")</f>
        <v>сб</v>
      </c>
      <c r="AA6" s="7" t="str">
        <f aca="false">CHOOSE(WEEKDAY(AA5,2),"пн","вт","ср","чт","пт","сб","вс")</f>
        <v>вс</v>
      </c>
      <c r="AB6" s="7" t="str">
        <f aca="false">CHOOSE(WEEKDAY(AB5,2),"пн","вт","ср","чт","пт","сб","вс")</f>
        <v>пн</v>
      </c>
      <c r="AC6" s="7" t="str">
        <f aca="false">CHOOSE(WEEKDAY(AC5,2),"пн","вт","ср","чт","пт","сб","вс")</f>
        <v>вт</v>
      </c>
      <c r="AD6" s="7" t="str">
        <f aca="false">CHOOSE(WEEKDAY(AD5,2),"пн","вт","ср","чт","пт","сб","вс")</f>
        <v>ср</v>
      </c>
      <c r="AE6" s="7" t="str">
        <f aca="false">CHOOSE(WEEKDAY(AE5,2),"пн","вт","ср","чт","пт","сб","вс")</f>
        <v>чт</v>
      </c>
      <c r="AF6" s="7" t="str">
        <f aca="false">CHOOSE(WEEKDAY(AF5,2),"пн","вт","ср","чт","пт","сб","вс")</f>
        <v>пт</v>
      </c>
      <c r="AG6" s="7" t="str">
        <f aca="false">CHOOSE(WEEKDAY(AG5,2),"пн","вт","ср","чт","пт","сб","вс")</f>
        <v>сб</v>
      </c>
      <c r="AH6" s="7" t="str">
        <f aca="false">CHOOSE(WEEKDAY(AH5,2),"пн","вт","ср","чт","пт","сб","вс")</f>
        <v>вс</v>
      </c>
      <c r="AI6" s="7" t="str">
        <f aca="false">CHOOSE(WEEKDAY(AI5,2),"пн","вт","ср","чт","пт","сб","вс")</f>
        <v>пн</v>
      </c>
      <c r="AJ6" s="7" t="str">
        <f aca="false">CHOOSE(WEEKDAY(AJ5,2),"пн","вт","ср","чт","пт","сб","вс")</f>
        <v>вт</v>
      </c>
      <c r="AK6" s="7" t="str">
        <f aca="false">CHOOSE(WEEKDAY(AK5,2),"пн","вт","ср","чт","пт","сб","вс")</f>
        <v>ср</v>
      </c>
      <c r="AL6" s="7" t="str">
        <f aca="false">CHOOSE(WEEKDAY(AL5,2),"пн","вт","ср","чт","пт","сб","вс")</f>
        <v>чт</v>
      </c>
      <c r="AM6" s="7" t="str">
        <f aca="false">CHOOSE(WEEKDAY(AM5,2),"пн","вт","ср","чт","пт","сб","вс")</f>
        <v>пт</v>
      </c>
      <c r="AN6" s="7" t="str">
        <f aca="false">CHOOSE(WEEKDAY(AN5,2),"пн","вт","ср","чт","пт","сб","вс")</f>
        <v>сб</v>
      </c>
      <c r="AO6" s="7" t="str">
        <f aca="false">CHOOSE(WEEKDAY(AO5,2),"пн","вт","ср","чт","пт","сб","вс")</f>
        <v>вс</v>
      </c>
      <c r="AP6" s="7" t="str">
        <f aca="false">CHOOSE(WEEKDAY(AP5,2),"пн","вт","ср","чт","пт","сб","вс")</f>
        <v>пн</v>
      </c>
      <c r="AQ6" s="7" t="str">
        <f aca="false">CHOOSE(WEEKDAY(AQ5,2),"пн","вт","ср","чт","пт","сб","вс")</f>
        <v>вт</v>
      </c>
      <c r="AR6" s="7" t="str">
        <f aca="false">CHOOSE(WEEKDAY(AR5,2),"пн","вт","ср","чт","пт","сб","вс")</f>
        <v>ср</v>
      </c>
      <c r="AS6" s="7" t="str">
        <f aca="false">CHOOSE(WEEKDAY(AS5,2),"пн","вт","ср","чт","пт","сб","вс")</f>
        <v>чт</v>
      </c>
      <c r="AT6" s="7" t="str">
        <f aca="false">CHOOSE(WEEKDAY(AT5,2),"пн","вт","ср","чт","пт","сб","вс")</f>
        <v>пт</v>
      </c>
      <c r="AU6" s="7" t="str">
        <f aca="false">CHOOSE(WEEKDAY(AU5,2),"пн","вт","ср","чт","пт","сб","вс")</f>
        <v>сб</v>
      </c>
      <c r="AV6" s="7" t="str">
        <f aca="false">CHOOSE(WEEKDAY(AV5,2),"пн","вт","ср","чт","пт","сб","вс")</f>
        <v>вс</v>
      </c>
      <c r="AW6" s="7" t="str">
        <f aca="false">CHOOSE(WEEKDAY(AW5,2),"пн","вт","ср","чт","пт","сб","вс")</f>
        <v>пн</v>
      </c>
      <c r="AX6" s="7" t="str">
        <f aca="false">CHOOSE(WEEKDAY(AX5,2),"пн","вт","ср","чт","пт","сб","вс")</f>
        <v>вт</v>
      </c>
      <c r="AY6" s="7" t="str">
        <f aca="false">CHOOSE(WEEKDAY(AY5,2),"пн","вт","ср","чт","пт","сб","вс")</f>
        <v>ср</v>
      </c>
      <c r="AZ6" s="7" t="str">
        <f aca="false">CHOOSE(WEEKDAY(AZ5,2),"пн","вт","ср","чт","пт","сб","вс")</f>
        <v>чт</v>
      </c>
      <c r="BA6" s="7" t="str">
        <f aca="false">CHOOSE(WEEKDAY(BA5,2),"пн","вт","ср","чт","пт","сб","вс")</f>
        <v>пт</v>
      </c>
      <c r="BB6" s="7" t="str">
        <f aca="false">CHOOSE(WEEKDAY(BB5,2),"пн","вт","ср","чт","пт","сб","вс")</f>
        <v>сб</v>
      </c>
      <c r="BC6" s="7" t="str">
        <f aca="false">CHOOSE(WEEKDAY(BC5,2),"пн","вт","ср","чт","пт","сб","вс")</f>
        <v>вс</v>
      </c>
      <c r="BD6" s="7" t="str">
        <f aca="false">CHOOSE(WEEKDAY(BD5,2),"пн","вт","ср","чт","пт","сб","вс")</f>
        <v>пн</v>
      </c>
      <c r="BE6" s="7" t="str">
        <f aca="false">CHOOSE(WEEKDAY(BE5,2),"пн","вт","ср","чт","пт","сб","вс")</f>
        <v>вт</v>
      </c>
      <c r="BF6" s="7" t="str">
        <f aca="false">CHOOSE(WEEKDAY(BF5,2),"пн","вт","ср","чт","пт","сб","вс")</f>
        <v>ср</v>
      </c>
      <c r="BG6" s="7" t="str">
        <f aca="false">CHOOSE(WEEKDAY(BG5,2),"пн","вт","ср","чт","пт","сб","вс")</f>
        <v>чт</v>
      </c>
      <c r="BH6" s="7" t="str">
        <f aca="false">CHOOSE(WEEKDAY(BH5,2),"пн","вт","ср","чт","пт","сб","вс")</f>
        <v>пт</v>
      </c>
      <c r="BI6" s="7" t="str">
        <f aca="false">CHOOSE(WEEKDAY(BI5,2),"пн","вт","ср","чт","пт","сб","вс")</f>
        <v>сб</v>
      </c>
      <c r="BJ6" s="7" t="str">
        <f aca="false">CHOOSE(WEEKDAY(BJ5,2),"пн","вт","ср","чт","пт","сб","вс")</f>
        <v>вс</v>
      </c>
      <c r="BK6" s="7" t="str">
        <f aca="false">CHOOSE(WEEKDAY(BK5,2),"пн","вт","ср","чт","пт","сб","вс")</f>
        <v>пн</v>
      </c>
      <c r="BL6" s="7" t="str">
        <f aca="false">CHOOSE(WEEKDAY(BL5,2),"пн","вт","ср","чт","пт","сб","вс")</f>
        <v>вт</v>
      </c>
      <c r="BM6" s="7" t="str">
        <f aca="false">CHOOSE(WEEKDAY(BM5,2),"пн","вт","ср","чт","пт","сб","вс")</f>
        <v>ср</v>
      </c>
      <c r="BN6" s="7" t="str">
        <f aca="false">CHOOSE(WEEKDAY(BN5,2),"пн","вт","ср","чт","пт","сб","вс")</f>
        <v>чт</v>
      </c>
      <c r="BO6" s="7" t="str">
        <f aca="false">CHOOSE(WEEKDAY(BO5,2),"пн","вт","ср","чт","пт","сб","вс")</f>
        <v>пт</v>
      </c>
      <c r="BP6" s="7" t="str">
        <f aca="false">CHOOSE(WEEKDAY(BP5,2),"пн","вт","ср","чт","пт","сб","вс")</f>
        <v>сб</v>
      </c>
      <c r="BQ6" s="7" t="str">
        <f aca="false">CHOOSE(WEEKDAY(BQ5,2),"пн","вт","ср","чт","пт","сб","вс")</f>
        <v>вс</v>
      </c>
      <c r="BR6" s="7" t="str">
        <f aca="false">CHOOSE(WEEKDAY(BR5,2),"пн","вт","ср","чт","пт","сб","вс")</f>
        <v>пн</v>
      </c>
      <c r="BS6" s="7" t="str">
        <f aca="false">CHOOSE(WEEKDAY(BS5,2),"пн","вт","ср","чт","пт","сб","вс")</f>
        <v>вт</v>
      </c>
      <c r="BT6" s="7" t="str">
        <f aca="false">CHOOSE(WEEKDAY(BT5,2),"пн","вт","ср","чт","пт","сб","вс")</f>
        <v>ср</v>
      </c>
      <c r="BU6" s="7" t="str">
        <f aca="false">CHOOSE(WEEKDAY(BU5,2),"пн","вт","ср","чт","пт","сб","вс")</f>
        <v>чт</v>
      </c>
      <c r="BV6" s="7" t="str">
        <f aca="false">CHOOSE(WEEKDAY(BV5,2),"пн","вт","ср","чт","пт","сб","вс")</f>
        <v>пт</v>
      </c>
      <c r="BW6" s="7" t="str">
        <f aca="false">CHOOSE(WEEKDAY(BW5,2),"пн","вт","ср","чт","пт","сб","вс")</f>
        <v>сб</v>
      </c>
      <c r="BX6" s="7" t="str">
        <f aca="false">CHOOSE(WEEKDAY(BX5,2),"пн","вт","ср","чт","пт","сб","вс")</f>
        <v>вс</v>
      </c>
      <c r="BY6" s="7" t="str">
        <f aca="false">CHOOSE(WEEKDAY(BY5,2),"пн","вт","ср","чт","пт","сб","вс")</f>
        <v>пн</v>
      </c>
      <c r="BZ6" s="7" t="str">
        <f aca="false">CHOOSE(WEEKDAY(BZ5,2),"пн","вт","ср","чт","пт","сб","вс")</f>
        <v>вт</v>
      </c>
      <c r="CA6" s="7" t="str">
        <f aca="false">CHOOSE(WEEKDAY(CA5,2),"пн","вт","ср","чт","пт","сб","вс")</f>
        <v>ср</v>
      </c>
      <c r="CB6" s="7" t="str">
        <f aca="false">CHOOSE(WEEKDAY(CB5,2),"пн","вт","ср","чт","пт","сб","вс")</f>
        <v>чт</v>
      </c>
      <c r="CC6" s="7" t="str">
        <f aca="false">CHOOSE(WEEKDAY(CC5,2),"пн","вт","ср","чт","пт","сб","вс")</f>
        <v>пт</v>
      </c>
      <c r="CD6" s="7" t="str">
        <f aca="false">CHOOSE(WEEKDAY(CD5,2),"пн","вт","ср","чт","пт","сб","вс")</f>
        <v>сб</v>
      </c>
      <c r="CE6" s="7" t="str">
        <f aca="false">CHOOSE(WEEKDAY(CE5,2),"пн","вт","ср","чт","пт","сб","вс")</f>
        <v>вс</v>
      </c>
      <c r="CF6" s="7" t="str">
        <f aca="false">CHOOSE(WEEKDAY(CF5,2),"пн","вт","ср","чт","пт","сб","вс")</f>
        <v>пн</v>
      </c>
      <c r="CG6" s="7" t="str">
        <f aca="false">CHOOSE(WEEKDAY(CG5,2),"пн","вт","ср","чт","пт","сб","вс")</f>
        <v>вт</v>
      </c>
      <c r="CH6" s="7" t="str">
        <f aca="false">CHOOSE(WEEKDAY(CH5,2),"пн","вт","ср","чт","пт","сб","вс")</f>
        <v>ср</v>
      </c>
      <c r="CI6" s="7" t="str">
        <f aca="false">CHOOSE(WEEKDAY(CI5,2),"пн","вт","ср","чт","пт","сб","вс")</f>
        <v>чт</v>
      </c>
      <c r="CJ6" s="7" t="str">
        <f aca="false">CHOOSE(WEEKDAY(CJ5,2),"пн","вт","ср","чт","пт","сб","вс")</f>
        <v>пт</v>
      </c>
      <c r="CK6" s="7" t="str">
        <f aca="false">CHOOSE(WEEKDAY(CK5,2),"пн","вт","ср","чт","пт","сб","вс")</f>
        <v>сб</v>
      </c>
      <c r="CL6" s="7" t="str">
        <f aca="false">CHOOSE(WEEKDAY(CL5,2),"пн","вт","ср","чт","пт","сб","вс")</f>
        <v>вс</v>
      </c>
      <c r="CM6" s="7" t="str">
        <f aca="false">CHOOSE(WEEKDAY(CM5,2),"пн","вт","ср","чт","пт","сб","вс")</f>
        <v>пн</v>
      </c>
      <c r="CN6" s="7" t="str">
        <f aca="false">CHOOSE(WEEKDAY(CN5,2),"пн","вт","ср","чт","пт","сб","вс")</f>
        <v>вт</v>
      </c>
      <c r="CO6" s="7" t="str">
        <f aca="false">CHOOSE(WEEKDAY(CO5,2),"пн","вт","ср","чт","пт","сб","вс")</f>
        <v>ср</v>
      </c>
      <c r="CP6" s="7" t="str">
        <f aca="false">CHOOSE(WEEKDAY(CP5,2),"пн","вт","ср","чт","пт","сб","вс")</f>
        <v>чт</v>
      </c>
      <c r="CQ6" s="7" t="str">
        <f aca="false">CHOOSE(WEEKDAY(CQ5,2),"пн","вт","ср","чт","пт","сб","вс")</f>
        <v>пт</v>
      </c>
      <c r="CR6" s="7" t="str">
        <f aca="false">CHOOSE(WEEKDAY(CR5,2),"пн","вт","ср","чт","пт","сб","вс")</f>
        <v>сб</v>
      </c>
      <c r="CS6" s="7" t="str">
        <f aca="false">CHOOSE(WEEKDAY(CS5,2),"пн","вт","ср","чт","пт","сб","вс")</f>
        <v>вс</v>
      </c>
      <c r="CT6" s="7" t="str">
        <f aca="false">CHOOSE(WEEKDAY(CT5,2),"пн","вт","ср","чт","пт","сб","вс")</f>
        <v>пн</v>
      </c>
      <c r="CU6" s="7" t="str">
        <f aca="false">CHOOSE(WEEKDAY(CU5,2),"пн","вт","ср","чт","пт","сб","вс")</f>
        <v>вт</v>
      </c>
      <c r="CV6" s="7" t="str">
        <f aca="false">CHOOSE(WEEKDAY(CV5,2),"пн","вт","ср","чт","пт","сб","вс")</f>
        <v>ср</v>
      </c>
      <c r="CW6" s="7" t="str">
        <f aca="false">CHOOSE(WEEKDAY(CW5,2),"пн","вт","ср","чт","пт","сб","вс")</f>
        <v>чт</v>
      </c>
      <c r="CX6" s="7" t="str">
        <f aca="false">CHOOSE(WEEKDAY(CX5,2),"пн","вт","ср","чт","пт","сб","вс")</f>
        <v>пт</v>
      </c>
      <c r="CY6" s="7" t="str">
        <f aca="false">CHOOSE(WEEKDAY(CY5,2),"пн","вт","ср","чт","пт","сб","вс")</f>
        <v>сб</v>
      </c>
      <c r="CZ6" s="7" t="str">
        <f aca="false">CHOOSE(WEEKDAY(CZ5,2),"пн","вт","ср","чт","пт","сб","вс")</f>
        <v>вс</v>
      </c>
      <c r="DA6" s="7" t="str">
        <f aca="false">CHOOSE(WEEKDAY(DA5,2),"пн","вт","ср","чт","пт","сб","вс")</f>
        <v>пн</v>
      </c>
      <c r="DB6" s="7" t="str">
        <f aca="false">CHOOSE(WEEKDAY(DB5,2),"пн","вт","ср","чт","пт","сб","вс")</f>
        <v>вт</v>
      </c>
      <c r="DC6" s="7" t="str">
        <f aca="false">CHOOSE(WEEKDAY(DC5,2),"пн","вт","ср","чт","пт","сб","вс")</f>
        <v>ср</v>
      </c>
      <c r="DD6" s="7" t="str">
        <f aca="false">CHOOSE(WEEKDAY(DD5,2),"пн","вт","ср","чт","пт","сб","вс")</f>
        <v>чт</v>
      </c>
      <c r="DE6" s="7" t="str">
        <f aca="false">CHOOSE(WEEKDAY(DE5,2),"пн","вт","ср","чт","пт","сб","вс")</f>
        <v>пт</v>
      </c>
      <c r="DF6" s="7" t="str">
        <f aca="false">CHOOSE(WEEKDAY(DF5,2),"пн","вт","ср","чт","пт","сб","вс")</f>
        <v>сб</v>
      </c>
      <c r="DG6" s="7" t="str">
        <f aca="false">CHOOSE(WEEKDAY(DG5,2),"пн","вт","ср","чт","пт","сб","вс")</f>
        <v>вс</v>
      </c>
      <c r="DH6" s="7" t="str">
        <f aca="false">CHOOSE(WEEKDAY(DH5,2),"пн","вт","ср","чт","пт","сб","вс")</f>
        <v>пн</v>
      </c>
      <c r="DI6" s="7" t="str">
        <f aca="false">CHOOSE(WEEKDAY(DI5,2),"пн","вт","ср","чт","пт","сб","вс")</f>
        <v>вт</v>
      </c>
      <c r="DJ6" s="7" t="str">
        <f aca="false">CHOOSE(WEEKDAY(DJ5,2),"пн","вт","ср","чт","пт","сб","вс")</f>
        <v>ср</v>
      </c>
      <c r="DK6" s="7" t="str">
        <f aca="false">CHOOSE(WEEKDAY(DK5,2),"пн","вт","ср","чт","пт","сб","вс")</f>
        <v>чт</v>
      </c>
      <c r="DL6" s="7" t="str">
        <f aca="false">CHOOSE(WEEKDAY(DL5,2),"пн","вт","ср","чт","пт","сб","вс")</f>
        <v>пт</v>
      </c>
      <c r="DM6" s="7" t="str">
        <f aca="false">CHOOSE(WEEKDAY(DM5,2),"пн","вт","ср","чт","пт","сб","вс")</f>
        <v>сб</v>
      </c>
      <c r="DN6" s="7" t="str">
        <f aca="false">CHOOSE(WEEKDAY(DN5,2),"пн","вт","ср","чт","пт","сб","вс")</f>
        <v>вс</v>
      </c>
      <c r="DO6" s="7" t="str">
        <f aca="false">CHOOSE(WEEKDAY(DO5,2),"пн","вт","ср","чт","пт","сб","вс")</f>
        <v>пн</v>
      </c>
      <c r="DP6" s="7" t="str">
        <f aca="false">CHOOSE(WEEKDAY(DP5,2),"пн","вт","ср","чт","пт","сб","вс")</f>
        <v>вт</v>
      </c>
      <c r="DQ6" s="7" t="str">
        <f aca="false">CHOOSE(WEEKDAY(DQ5,2),"пн","вт","ср","чт","пт","сб","вс")</f>
        <v>ср</v>
      </c>
      <c r="DR6" s="7" t="str">
        <f aca="false">CHOOSE(WEEKDAY(DR5,2),"пн","вт","ср","чт","пт","сб","вс")</f>
        <v>чт</v>
      </c>
      <c r="DS6" s="7" t="str">
        <f aca="false">CHOOSE(WEEKDAY(DS5,2),"пн","вт","ср","чт","пт","сб","вс")</f>
        <v>пт</v>
      </c>
      <c r="DT6" s="7" t="str">
        <f aca="false">CHOOSE(WEEKDAY(DT5,2),"пн","вт","ср","чт","пт","сб","вс")</f>
        <v>сб</v>
      </c>
      <c r="DU6" s="7" t="str">
        <f aca="false">CHOOSE(WEEKDAY(DU5,2),"пн","вт","ср","чт","пт","сб","вс")</f>
        <v>вс</v>
      </c>
      <c r="DV6" s="7" t="str">
        <f aca="false">CHOOSE(WEEKDAY(DV5,2),"пн","вт","ср","чт","пт","сб","вс")</f>
        <v>пн</v>
      </c>
      <c r="DW6" s="7" t="str">
        <f aca="false">CHOOSE(WEEKDAY(DW5,2),"пн","вт","ср","чт","пт","сб","вс")</f>
        <v>вт</v>
      </c>
      <c r="DX6" s="7" t="str">
        <f aca="false">CHOOSE(WEEKDAY(DX5,2),"пн","вт","ср","чт","пт","сб","вс")</f>
        <v>ср</v>
      </c>
      <c r="DY6" s="7" t="str">
        <f aca="false">CHOOSE(WEEKDAY(DY5,2),"пн","вт","ср","чт","пт","сб","вс")</f>
        <v>чт</v>
      </c>
      <c r="DZ6" s="7" t="str">
        <f aca="false">CHOOSE(WEEKDAY(DZ5,2),"пн","вт","ср","чт","пт","сб","вс")</f>
        <v>пт</v>
      </c>
      <c r="EA6" s="7" t="str">
        <f aca="false">CHOOSE(WEEKDAY(EA5,2),"пн","вт","ср","чт","пт","сб","вс")</f>
        <v>сб</v>
      </c>
      <c r="EB6" s="7" t="str">
        <f aca="false">CHOOSE(WEEKDAY(EB5,2),"пн","вт","ср","чт","пт","сб","вс")</f>
        <v>вс</v>
      </c>
      <c r="EC6" s="7" t="str">
        <f aca="false">CHOOSE(WEEKDAY(EC5,2),"пн","вт","ср","чт","пт","сб","вс")</f>
        <v>пн</v>
      </c>
      <c r="ED6" s="7" t="str">
        <f aca="false">CHOOSE(WEEKDAY(ED5,2),"пн","вт","ср","чт","пт","сб","вс")</f>
        <v>вт</v>
      </c>
      <c r="EE6" s="7" t="str">
        <f aca="false">CHOOSE(WEEKDAY(EE5,2),"пн","вт","ср","чт","пт","сб","вс")</f>
        <v>ср</v>
      </c>
      <c r="EF6" s="7" t="str">
        <f aca="false">CHOOSE(WEEKDAY(EF5,2),"пн","вт","ср","чт","пт","сб","вс")</f>
        <v>чт</v>
      </c>
      <c r="EG6" s="7" t="str">
        <f aca="false">CHOOSE(WEEKDAY(EG5,2),"пн","вт","ср","чт","пт","сб","вс")</f>
        <v>пт</v>
      </c>
      <c r="EH6" s="7" t="str">
        <f aca="false">CHOOSE(WEEKDAY(EH5,2),"пн","вт","ср","чт","пт","сб","вс")</f>
        <v>сб</v>
      </c>
      <c r="EI6" s="7" t="str">
        <f aca="false">CHOOSE(WEEKDAY(EI5,2),"пн","вт","ср","чт","пт","сб","вс")</f>
        <v>вс</v>
      </c>
      <c r="EJ6" s="7" t="str">
        <f aca="false">CHOOSE(WEEKDAY(EJ5,2),"пн","вт","ср","чт","пт","сб","вс")</f>
        <v>пн</v>
      </c>
      <c r="EK6" s="7" t="str">
        <f aca="false">CHOOSE(WEEKDAY(EK5,2),"пн","вт","ср","чт","пт","сб","вс")</f>
        <v>вт</v>
      </c>
      <c r="EL6" s="7" t="str">
        <f aca="false">CHOOSE(WEEKDAY(EL5,2),"пн","вт","ср","чт","пт","сб","вс")</f>
        <v>ср</v>
      </c>
      <c r="EM6" s="7" t="str">
        <f aca="false">CHOOSE(WEEKDAY(EM5,2),"пн","вт","ср","чт","пт","сб","вс")</f>
        <v>чт</v>
      </c>
      <c r="EN6" s="7" t="str">
        <f aca="false">CHOOSE(WEEKDAY(EN5,2),"пн","вт","ср","чт","пт","сб","вс")</f>
        <v>пт</v>
      </c>
      <c r="EO6" s="7" t="str">
        <f aca="false">CHOOSE(WEEKDAY(EO5,2),"пн","вт","ср","чт","пт","сб","вс")</f>
        <v>сб</v>
      </c>
      <c r="EP6" s="7" t="str">
        <f aca="false">CHOOSE(WEEKDAY(EP5,2),"пн","вт","ср","чт","пт","сб","вс")</f>
        <v>вс</v>
      </c>
      <c r="EQ6" s="7" t="str">
        <f aca="false">CHOOSE(WEEKDAY(EQ5,2),"пн","вт","ср","чт","пт","сб","вс")</f>
        <v>пн</v>
      </c>
      <c r="ER6" s="7" t="str">
        <f aca="false">CHOOSE(WEEKDAY(ER5,2),"пн","вт","ср","чт","пт","сб","вс")</f>
        <v>вт</v>
      </c>
      <c r="ES6" s="7" t="str">
        <f aca="false">CHOOSE(WEEKDAY(ES5,2),"пн","вт","ср","чт","пт","сб","вс")</f>
        <v>ср</v>
      </c>
      <c r="ET6" s="7" t="str">
        <f aca="false">CHOOSE(WEEKDAY(ET5,2),"пн","вт","ср","чт","пт","сб","вс")</f>
        <v>чт</v>
      </c>
      <c r="EU6" s="7" t="str">
        <f aca="false">CHOOSE(WEEKDAY(EU5,2),"пн","вт","ср","чт","пт","сб","вс")</f>
        <v>пт</v>
      </c>
      <c r="EV6" s="7" t="str">
        <f aca="false">CHOOSE(WEEKDAY(EV5,2),"пн","вт","ср","чт","пт","сб","вс")</f>
        <v>сб</v>
      </c>
      <c r="EW6" s="7" t="str">
        <f aca="false">CHOOSE(WEEKDAY(EW5,2),"пн","вт","ср","чт","пт","сб","вс")</f>
        <v>вс</v>
      </c>
      <c r="EX6" s="7" t="str">
        <f aca="false">CHOOSE(WEEKDAY(EX5,2),"пн","вт","ср","чт","пт","сб","вс")</f>
        <v>пн</v>
      </c>
      <c r="EY6" s="7" t="str">
        <f aca="false">CHOOSE(WEEKDAY(EY5,2),"пн","вт","ср","чт","пт","сб","вс")</f>
        <v>вт</v>
      </c>
      <c r="EZ6" s="7" t="str">
        <f aca="false">CHOOSE(WEEKDAY(EZ5,2),"пн","вт","ср","чт","пт","сб","вс")</f>
        <v>ср</v>
      </c>
      <c r="FA6" s="7" t="str">
        <f aca="false">CHOOSE(WEEKDAY(FA5,2),"пн","вт","ср","чт","пт","сб","вс")</f>
        <v>чт</v>
      </c>
      <c r="FB6" s="7" t="str">
        <f aca="false">CHOOSE(WEEKDAY(FB5,2),"пн","вт","ср","чт","пт","сб","вс")</f>
        <v>пт</v>
      </c>
      <c r="FC6" s="7" t="str">
        <f aca="false">CHOOSE(WEEKDAY(FC5,2),"пн","вт","ср","чт","пт","сб","вс")</f>
        <v>сб</v>
      </c>
      <c r="FD6" s="7" t="str">
        <f aca="false">CHOOSE(WEEKDAY(FD5,2),"пн","вт","ср","чт","пт","сб","вс")</f>
        <v>вс</v>
      </c>
      <c r="FE6" s="7" t="str">
        <f aca="false">CHOOSE(WEEKDAY(FE5,2),"пн","вт","ср","чт","пт","сб","вс")</f>
        <v>пн</v>
      </c>
      <c r="FF6" s="7" t="str">
        <f aca="false">CHOOSE(WEEKDAY(FF5,2),"пн","вт","ср","чт","пт","сб","вс")</f>
        <v>вт</v>
      </c>
      <c r="FG6" s="7" t="str">
        <f aca="false">CHOOSE(WEEKDAY(FG5,2),"пн","вт","ср","чт","пт","сб","вс")</f>
        <v>ср</v>
      </c>
      <c r="FH6" s="7" t="str">
        <f aca="false">CHOOSE(WEEKDAY(FH5,2),"пн","вт","ср","чт","пт","сб","вс")</f>
        <v>чт</v>
      </c>
      <c r="FI6" s="7" t="str">
        <f aca="false">CHOOSE(WEEKDAY(FI5,2),"пн","вт","ср","чт","пт","сб","вс")</f>
        <v>пт</v>
      </c>
      <c r="FJ6" s="7" t="str">
        <f aca="false">CHOOSE(WEEKDAY(FJ5,2),"пн","вт","ср","чт","пт","сб","вс")</f>
        <v>сб</v>
      </c>
      <c r="FK6" s="7" t="str">
        <f aca="false">CHOOSE(WEEKDAY(FK5,2),"пн","вт","ср","чт","пт","сб","вс")</f>
        <v>вс</v>
      </c>
      <c r="FL6" s="7" t="str">
        <f aca="false">CHOOSE(WEEKDAY(FL5,2),"пн","вт","ср","чт","пт","сб","вс")</f>
        <v>пн</v>
      </c>
      <c r="FM6" s="7" t="str">
        <f aca="false">CHOOSE(WEEKDAY(FM5,2),"пн","вт","ср","чт","пт","сб","вс")</f>
        <v>вт</v>
      </c>
      <c r="FN6" s="7" t="str">
        <f aca="false">CHOOSE(WEEKDAY(FN5,2),"пн","вт","ср","чт","пт","сб","вс")</f>
        <v>ср</v>
      </c>
      <c r="FO6" s="7" t="str">
        <f aca="false">CHOOSE(WEEKDAY(FO5,2),"пн","вт","ср","чт","пт","сб","вс")</f>
        <v>чт</v>
      </c>
      <c r="FP6" s="7" t="str">
        <f aca="false">CHOOSE(WEEKDAY(FP5,2),"пн","вт","ср","чт","пт","сб","вс")</f>
        <v>пт</v>
      </c>
      <c r="FQ6" s="7" t="str">
        <f aca="false">CHOOSE(WEEKDAY(FQ5,2),"пн","вт","ср","чт","пт","сб","вс")</f>
        <v>сб</v>
      </c>
      <c r="FR6" s="7" t="str">
        <f aca="false">CHOOSE(WEEKDAY(FR5,2),"пн","вт","ср","чт","пт","сб","вс")</f>
        <v>вс</v>
      </c>
      <c r="FS6" s="7" t="str">
        <f aca="false">CHOOSE(WEEKDAY(FS5,2),"пн","вт","ср","чт","пт","сб","вс")</f>
        <v>пн</v>
      </c>
      <c r="FT6" s="7" t="str">
        <f aca="false">CHOOSE(WEEKDAY(FT5,2),"пн","вт","ср","чт","пт","сб","вс")</f>
        <v>вт</v>
      </c>
      <c r="FU6" s="7" t="str">
        <f aca="false">CHOOSE(WEEKDAY(FU5,2),"пн","вт","ср","чт","пт","сб","вс")</f>
        <v>ср</v>
      </c>
      <c r="FV6" s="7" t="str">
        <f aca="false">CHOOSE(WEEKDAY(FV5,2),"пн","вт","ср","чт","пт","сб","вс")</f>
        <v>чт</v>
      </c>
      <c r="FW6" s="7" t="str">
        <f aca="false">CHOOSE(WEEKDAY(FW5,2),"пн","вт","ср","чт","пт","сб","вс")</f>
        <v>пт</v>
      </c>
      <c r="FX6" s="7" t="str">
        <f aca="false">CHOOSE(WEEKDAY(FX5,2),"пн","вт","ср","чт","пт","сб","вс")</f>
        <v>сб</v>
      </c>
      <c r="FY6" s="7" t="str">
        <f aca="false">CHOOSE(WEEKDAY(FY5,2),"пн","вт","ср","чт","пт","сб","вс")</f>
        <v>вс</v>
      </c>
      <c r="FZ6" s="7" t="str">
        <f aca="false">CHOOSE(WEEKDAY(FZ5,2),"пн","вт","ср","чт","пт","сб","вс")</f>
        <v>пн</v>
      </c>
      <c r="GA6" s="7" t="str">
        <f aca="false">CHOOSE(WEEKDAY(GA5,2),"пн","вт","ср","чт","пт","сб","вс")</f>
        <v>вт</v>
      </c>
      <c r="GB6" s="7" t="str">
        <f aca="false">CHOOSE(WEEKDAY(GB5,2),"пн","вт","ср","чт","пт","сб","вс")</f>
        <v>ср</v>
      </c>
      <c r="GC6" s="7" t="str">
        <f aca="false">CHOOSE(WEEKDAY(GC5,2),"пн","вт","ср","чт","пт","сб","вс")</f>
        <v>чт</v>
      </c>
      <c r="GD6" s="7" t="str">
        <f aca="false">CHOOSE(WEEKDAY(GD5,2),"пн","вт","ср","чт","пт","сб","вс")</f>
        <v>пт</v>
      </c>
      <c r="GE6" s="7" t="str">
        <f aca="false">CHOOSE(WEEKDAY(GE5,2),"пн","вт","ср","чт","пт","сб","вс")</f>
        <v>сб</v>
      </c>
      <c r="GF6" s="7" t="str">
        <f aca="false">CHOOSE(WEEKDAY(GF5,2),"пн","вт","ср","чт","пт","сб","вс")</f>
        <v>вс</v>
      </c>
      <c r="GG6" s="7" t="str">
        <f aca="false">CHOOSE(WEEKDAY(GG5,2),"пн","вт","ср","чт","пт","сб","вс")</f>
        <v>пн</v>
      </c>
      <c r="GH6" s="7" t="str">
        <f aca="false">CHOOSE(WEEKDAY(GH5,2),"пн","вт","ср","чт","пт","сб","вс")</f>
        <v>вт</v>
      </c>
      <c r="GI6" s="7" t="str">
        <f aca="false">CHOOSE(WEEKDAY(GI5,2),"пн","вт","ср","чт","пт","сб","вс")</f>
        <v>ср</v>
      </c>
      <c r="GJ6" s="7" t="str">
        <f aca="false">CHOOSE(WEEKDAY(GJ5,2),"пн","вт","ср","чт","пт","сб","вс")</f>
        <v>чт</v>
      </c>
      <c r="GK6" s="7" t="str">
        <f aca="false">CHOOSE(WEEKDAY(GK5,2),"пн","вт","ср","чт","пт","сб","вс")</f>
        <v>пт</v>
      </c>
      <c r="GL6" s="7" t="str">
        <f aca="false">CHOOSE(WEEKDAY(GL5,2),"пн","вт","ср","чт","пт","сб","вс")</f>
        <v>сб</v>
      </c>
      <c r="GM6" s="7" t="str">
        <f aca="false">CHOOSE(WEEKDAY(GM5,2),"пн","вт","ср","чт","пт","сб","вс")</f>
        <v>вс</v>
      </c>
      <c r="GN6" s="7" t="str">
        <f aca="false">CHOOSE(WEEKDAY(GN5,2),"пн","вт","ср","чт","пт","сб","вс")</f>
        <v>пн</v>
      </c>
      <c r="GO6" s="7" t="str">
        <f aca="false">CHOOSE(WEEKDAY(GO5,2),"пн","вт","ср","чт","пт","сб","вс")</f>
        <v>вт</v>
      </c>
      <c r="GP6" s="7" t="str">
        <f aca="false">CHOOSE(WEEKDAY(GP5,2),"пн","вт","ср","чт","пт","сб","вс")</f>
        <v>ср</v>
      </c>
      <c r="GQ6" s="7" t="str">
        <f aca="false">CHOOSE(WEEKDAY(GQ5,2),"пн","вт","ср","чт","пт","сб","вс")</f>
        <v>чт</v>
      </c>
      <c r="GR6" s="7" t="str">
        <f aca="false">CHOOSE(WEEKDAY(GR5,2),"пн","вт","ср","чт","пт","сб","вс")</f>
        <v>пт</v>
      </c>
      <c r="GS6" s="7" t="str">
        <f aca="false">CHOOSE(WEEKDAY(GS5,2),"пн","вт","ср","чт","пт","сб","вс")</f>
        <v>сб</v>
      </c>
      <c r="GT6" s="7" t="str">
        <f aca="false">CHOOSE(WEEKDAY(GT5,2),"пн","вт","ср","чт","пт","сб","вс")</f>
        <v>вс</v>
      </c>
      <c r="GU6" s="7" t="str">
        <f aca="false">CHOOSE(WEEKDAY(GU5,2),"пн","вт","ср","чт","пт","сб","вс")</f>
        <v>пн</v>
      </c>
      <c r="GV6" s="7" t="str">
        <f aca="false">CHOOSE(WEEKDAY(GV5,2),"пн","вт","ср","чт","пт","сб","вс")</f>
        <v>вт</v>
      </c>
      <c r="GW6" s="7" t="str">
        <f aca="false">CHOOSE(WEEKDAY(GW5,2),"пн","вт","ср","чт","пт","сб","вс")</f>
        <v>ср</v>
      </c>
      <c r="GX6" s="7" t="str">
        <f aca="false">CHOOSE(WEEKDAY(GX5,2),"пн","вт","ср","чт","пт","сб","вс")</f>
        <v>чт</v>
      </c>
      <c r="GY6" s="7" t="str">
        <f aca="false">CHOOSE(WEEKDAY(GY5,2),"пн","вт","ср","чт","пт","сб","вс")</f>
        <v>пт</v>
      </c>
      <c r="GZ6" s="7" t="str">
        <f aca="false">CHOOSE(WEEKDAY(GZ5,2),"пн","вт","ср","чт","пт","сб","вс")</f>
        <v>сб</v>
      </c>
      <c r="HA6" s="7" t="str">
        <f aca="false">CHOOSE(WEEKDAY(HA5,2),"пн","вт","ср","чт","пт","сб","вс")</f>
        <v>вс</v>
      </c>
      <c r="HB6" s="7" t="str">
        <f aca="false">CHOOSE(WEEKDAY(HB5,2),"пн","вт","ср","чт","пт","сб","вс")</f>
        <v>пн</v>
      </c>
      <c r="HC6" s="7" t="str">
        <f aca="false">CHOOSE(WEEKDAY(HC5,2),"пн","вт","ср","чт","пт","сб","вс")</f>
        <v>вт</v>
      </c>
      <c r="HD6" s="7" t="str">
        <f aca="false">CHOOSE(WEEKDAY(HD5,2),"пн","вт","ср","чт","пт","сб","вс")</f>
        <v>ср</v>
      </c>
      <c r="HE6" s="7" t="str">
        <f aca="false">CHOOSE(WEEKDAY(HE5,2),"пн","вт","ср","чт","пт","сб","вс")</f>
        <v>чт</v>
      </c>
      <c r="HF6" s="7" t="str">
        <f aca="false">CHOOSE(WEEKDAY(HF5,2),"пн","вт","ср","чт","пт","сб","вс")</f>
        <v>пт</v>
      </c>
      <c r="HG6" s="7" t="str">
        <f aca="false">CHOOSE(WEEKDAY(HG5,2),"пн","вт","ср","чт","пт","сб","вс")</f>
        <v>сб</v>
      </c>
      <c r="HH6" s="7" t="str">
        <f aca="false">CHOOSE(WEEKDAY(HH5,2),"пн","вт","ср","чт","пт","сб","вс")</f>
        <v>вс</v>
      </c>
      <c r="HI6" s="7" t="str">
        <f aca="false">CHOOSE(WEEKDAY(HI5,2),"пн","вт","ср","чт","пт","сб","вс")</f>
        <v>пн</v>
      </c>
      <c r="HJ6" s="7" t="str">
        <f aca="false">CHOOSE(WEEKDAY(HJ5,2),"пн","вт","ср","чт","пт","сб","вс")</f>
        <v>вт</v>
      </c>
      <c r="HK6" s="7" t="str">
        <f aca="false">CHOOSE(WEEKDAY(HK5,2),"пн","вт","ср","чт","пт","сб","вс")</f>
        <v>ср</v>
      </c>
      <c r="HL6" s="7" t="str">
        <f aca="false">CHOOSE(WEEKDAY(HL5,2),"пн","вт","ср","чт","пт","сб","вс")</f>
        <v>чт</v>
      </c>
      <c r="HM6" s="7" t="str">
        <f aca="false">CHOOSE(WEEKDAY(HM5,2),"пн","вт","ср","чт","пт","сб","вс")</f>
        <v>пт</v>
      </c>
      <c r="HN6" s="7" t="str">
        <f aca="false">CHOOSE(WEEKDAY(HN5,2),"пн","вт","ср","чт","пт","сб","вс")</f>
        <v>сб</v>
      </c>
      <c r="HO6" s="7" t="str">
        <f aca="false">CHOOSE(WEEKDAY(HO5,2),"пн","вт","ср","чт","пт","сб","вс")</f>
        <v>вс</v>
      </c>
      <c r="HP6" s="7" t="str">
        <f aca="false">CHOOSE(WEEKDAY(HP5,2),"пн","вт","ср","чт","пт","сб","вс")</f>
        <v>пн</v>
      </c>
      <c r="HQ6" s="7" t="str">
        <f aca="false">CHOOSE(WEEKDAY(HQ5,2),"пн","вт","ср","чт","пт","сб","вс")</f>
        <v>вт</v>
      </c>
      <c r="HR6" s="7" t="str">
        <f aca="false">CHOOSE(WEEKDAY(HR5,2),"пн","вт","ср","чт","пт","сб","вс")</f>
        <v>ср</v>
      </c>
      <c r="HS6" s="7" t="str">
        <f aca="false">CHOOSE(WEEKDAY(HS5,2),"пн","вт","ср","чт","пт","сб","вс")</f>
        <v>чт</v>
      </c>
      <c r="HT6" s="7" t="str">
        <f aca="false">CHOOSE(WEEKDAY(HT5,2),"пн","вт","ср","чт","пт","сб","вс")</f>
        <v>пт</v>
      </c>
      <c r="HU6" s="7" t="str">
        <f aca="false">CHOOSE(WEEKDAY(HU5,2),"пн","вт","ср","чт","пт","сб","вс")</f>
        <v>сб</v>
      </c>
      <c r="HV6" s="7" t="str">
        <f aca="false">CHOOSE(WEEKDAY(HV5,2),"пн","вт","ср","чт","пт","сб","вс")</f>
        <v>вс</v>
      </c>
      <c r="HW6" s="7" t="str">
        <f aca="false">CHOOSE(WEEKDAY(HW5,2),"пн","вт","ср","чт","пт","сб","вс")</f>
        <v>пн</v>
      </c>
      <c r="HX6" s="7" t="str">
        <f aca="false">CHOOSE(WEEKDAY(HX5,2),"пн","вт","ср","чт","пт","сб","вс")</f>
        <v>вт</v>
      </c>
      <c r="HY6" s="7" t="str">
        <f aca="false">CHOOSE(WEEKDAY(HY5,2),"пн","вт","ср","чт","пт","сб","вс")</f>
        <v>ср</v>
      </c>
      <c r="HZ6" s="7" t="str">
        <f aca="false">CHOOSE(WEEKDAY(HZ5,2),"пн","вт","ср","чт","пт","сб","вс")</f>
        <v>чт</v>
      </c>
      <c r="IA6" s="7" t="str">
        <f aca="false">CHOOSE(WEEKDAY(IA5,2),"пн","вт","ср","чт","пт","сб","вс")</f>
        <v>пт</v>
      </c>
      <c r="IB6" s="7" t="str">
        <f aca="false">CHOOSE(WEEKDAY(IB5,2),"пн","вт","ср","чт","пт","сб","вс")</f>
        <v>сб</v>
      </c>
      <c r="IC6" s="7" t="str">
        <f aca="false">CHOOSE(WEEKDAY(IC5,2),"пн","вт","ср","чт","пт","сб","вс")</f>
        <v>вс</v>
      </c>
      <c r="ID6" s="7" t="str">
        <f aca="false">CHOOSE(WEEKDAY(ID5,2),"пн","вт","ср","чт","пт","сб","вс")</f>
        <v>пн</v>
      </c>
      <c r="IE6" s="7" t="str">
        <f aca="false">CHOOSE(WEEKDAY(IE5,2),"пн","вт","ср","чт","пт","сб","вс")</f>
        <v>вт</v>
      </c>
      <c r="IF6" s="7" t="str">
        <f aca="false">CHOOSE(WEEKDAY(IF5,2),"пн","вт","ср","чт","пт","сб","вс")</f>
        <v>ср</v>
      </c>
      <c r="IG6" s="7" t="str">
        <f aca="false">CHOOSE(WEEKDAY(IG5,2),"пн","вт","ср","чт","пт","сб","вс")</f>
        <v>чт</v>
      </c>
      <c r="IH6" s="7" t="str">
        <f aca="false">CHOOSE(WEEKDAY(IH5,2),"пн","вт","ср","чт","пт","сб","вс")</f>
        <v>пт</v>
      </c>
      <c r="II6" s="7" t="str">
        <f aca="false">CHOOSE(WEEKDAY(II5,2),"пн","вт","ср","чт","пт","сб","вс")</f>
        <v>сб</v>
      </c>
      <c r="IJ6" s="7" t="str">
        <f aca="false">CHOOSE(WEEKDAY(IJ5,2),"пн","вт","ср","чт","пт","сб","вс")</f>
        <v>вс</v>
      </c>
      <c r="IK6" s="7" t="str">
        <f aca="false">CHOOSE(WEEKDAY(IK5,2),"пн","вт","ср","чт","пт","сб","вс")</f>
        <v>пн</v>
      </c>
      <c r="IL6" s="7" t="str">
        <f aca="false">CHOOSE(WEEKDAY(IL5,2),"пн","вт","ср","чт","пт","сб","вс")</f>
        <v>вт</v>
      </c>
      <c r="IM6" s="7" t="str">
        <f aca="false">CHOOSE(WEEKDAY(IM5,2),"пн","вт","ср","чт","пт","сб","вс")</f>
        <v>ср</v>
      </c>
      <c r="IN6" s="7" t="str">
        <f aca="false">CHOOSE(WEEKDAY(IN5,2),"пн","вт","ср","чт","пт","сб","вс")</f>
        <v>чт</v>
      </c>
      <c r="IO6" s="7" t="str">
        <f aca="false">CHOOSE(WEEKDAY(IO5,2),"пн","вт","ср","чт","пт","сб","вс")</f>
        <v>пт</v>
      </c>
      <c r="IP6" s="7" t="str">
        <f aca="false">CHOOSE(WEEKDAY(IP5,2),"пн","вт","ср","чт","пт","сб","вс")</f>
        <v>сб</v>
      </c>
      <c r="IQ6" s="7" t="str">
        <f aca="false">CHOOSE(WEEKDAY(IQ5,2),"пн","вт","ср","чт","пт","сб","вс")</f>
        <v>вс</v>
      </c>
      <c r="IR6" s="7" t="str">
        <f aca="false">CHOOSE(WEEKDAY(IR5,2),"пн","вт","ср","чт","пт","сб","вс")</f>
        <v>пн</v>
      </c>
      <c r="IS6" s="7" t="str">
        <f aca="false">CHOOSE(WEEKDAY(IS5,2),"пн","вт","ср","чт","пт","сб","вс")</f>
        <v>вт</v>
      </c>
      <c r="IT6" s="7" t="str">
        <f aca="false">CHOOSE(WEEKDAY(IT5,2),"пн","вт","ср","чт","пт","сб","вс")</f>
        <v>ср</v>
      </c>
      <c r="IU6" s="7" t="str">
        <f aca="false">CHOOSE(WEEKDAY(IU5,2),"пн","вт","ср","чт","пт","сб","вс")</f>
        <v>чт</v>
      </c>
      <c r="IV6" s="7" t="str">
        <f aca="false">CHOOSE(WEEKDAY(IV5,2),"пн","вт","ср","чт","пт","сб","вс")</f>
        <v>пт</v>
      </c>
      <c r="IW6" s="7" t="str">
        <f aca="false">CHOOSE(WEEKDAY(IW5,2),"пн","вт","ср","чт","пт","сб","вс")</f>
        <v>сб</v>
      </c>
      <c r="IX6" s="7" t="str">
        <f aca="false">CHOOSE(WEEKDAY(IX5,2),"пн","вт","ср","чт","пт","сб","вс")</f>
        <v>вс</v>
      </c>
      <c r="IY6" s="7" t="str">
        <f aca="false">CHOOSE(WEEKDAY(IY5,2),"пн","вт","ср","чт","пт","сб","вс")</f>
        <v>пн</v>
      </c>
      <c r="IZ6" s="7" t="str">
        <f aca="false">CHOOSE(WEEKDAY(IZ5,2),"пн","вт","ср","чт","пт","сб","вс")</f>
        <v>вт</v>
      </c>
      <c r="JA6" s="7" t="str">
        <f aca="false">CHOOSE(WEEKDAY(JA5,2),"пн","вт","ср","чт","пт","сб","вс")</f>
        <v>ср</v>
      </c>
      <c r="JB6" s="7" t="str">
        <f aca="false">CHOOSE(WEEKDAY(JB5,2),"пн","вт","ср","чт","пт","сб","вс")</f>
        <v>чт</v>
      </c>
      <c r="JC6" s="7" t="str">
        <f aca="false">CHOOSE(WEEKDAY(JC5,2),"пн","вт","ср","чт","пт","сб","вс")</f>
        <v>пт</v>
      </c>
      <c r="JD6" s="7" t="str">
        <f aca="false">CHOOSE(WEEKDAY(JD5,2),"пн","вт","ср","чт","пт","сб","вс")</f>
        <v>сб</v>
      </c>
      <c r="JE6" s="7" t="str">
        <f aca="false">CHOOSE(WEEKDAY(JE5,2),"пн","вт","ср","чт","пт","сб","вс")</f>
        <v>вс</v>
      </c>
      <c r="JF6" s="7" t="str">
        <f aca="false">CHOOSE(WEEKDAY(JF5,2),"пн","вт","ср","чт","пт","сб","вс")</f>
        <v>пн</v>
      </c>
      <c r="JG6" s="7" t="str">
        <f aca="false">CHOOSE(WEEKDAY(JG5,2),"пн","вт","ср","чт","пт","сб","вс")</f>
        <v>вт</v>
      </c>
      <c r="JH6" s="7" t="str">
        <f aca="false">CHOOSE(WEEKDAY(JH5,2),"пн","вт","ср","чт","пт","сб","вс")</f>
        <v>ср</v>
      </c>
      <c r="JI6" s="7" t="str">
        <f aca="false">CHOOSE(WEEKDAY(JI5,2),"пн","вт","ср","чт","пт","сб","вс")</f>
        <v>чт</v>
      </c>
      <c r="JJ6" s="7" t="str">
        <f aca="false">CHOOSE(WEEKDAY(JJ5,2),"пн","вт","ср","чт","пт","сб","вс")</f>
        <v>пт</v>
      </c>
      <c r="JK6" s="7" t="str">
        <f aca="false">CHOOSE(WEEKDAY(JK5,2),"пн","вт","ср","чт","пт","сб","вс")</f>
        <v>сб</v>
      </c>
      <c r="JL6" s="7" t="str">
        <f aca="false">CHOOSE(WEEKDAY(JL5,2),"пн","вт","ср","чт","пт","сб","вс")</f>
        <v>вс</v>
      </c>
      <c r="JM6" s="7" t="str">
        <f aca="false">CHOOSE(WEEKDAY(JM5,2),"пн","вт","ср","чт","пт","сб","вс")</f>
        <v>пн</v>
      </c>
      <c r="JN6" s="7" t="str">
        <f aca="false">CHOOSE(WEEKDAY(JN5,2),"пн","вт","ср","чт","пт","сб","вс")</f>
        <v>вт</v>
      </c>
      <c r="JO6" s="7" t="str">
        <f aca="false">CHOOSE(WEEKDAY(JO5,2),"пн","вт","ср","чт","пт","сб","вс")</f>
        <v>ср</v>
      </c>
      <c r="JP6" s="7" t="str">
        <f aca="false">CHOOSE(WEEKDAY(JP5,2),"пн","вт","ср","чт","пт","сб","вс")</f>
        <v>чт</v>
      </c>
      <c r="JQ6" s="7" t="str">
        <f aca="false">CHOOSE(WEEKDAY(JQ5,2),"пн","вт","ср","чт","пт","сб","вс")</f>
        <v>пт</v>
      </c>
      <c r="JR6" s="7" t="str">
        <f aca="false">CHOOSE(WEEKDAY(JR5,2),"пн","вт","ср","чт","пт","сб","вс")</f>
        <v>сб</v>
      </c>
      <c r="JS6" s="7" t="str">
        <f aca="false">CHOOSE(WEEKDAY(JS5,2),"пн","вт","ср","чт","пт","сб","вс")</f>
        <v>вс</v>
      </c>
      <c r="JT6" s="7" t="str">
        <f aca="false">CHOOSE(WEEKDAY(JT5,2),"пн","вт","ср","чт","пт","сб","вс")</f>
        <v>пн</v>
      </c>
      <c r="JU6" s="7" t="str">
        <f aca="false">CHOOSE(WEEKDAY(JU5,2),"пн","вт","ср","чт","пт","сб","вс")</f>
        <v>вт</v>
      </c>
      <c r="JV6" s="7" t="str">
        <f aca="false">CHOOSE(WEEKDAY(JV5,2),"пн","вт","ср","чт","пт","сб","вс")</f>
        <v>ср</v>
      </c>
      <c r="JW6" s="7" t="str">
        <f aca="false">CHOOSE(WEEKDAY(JW5,2),"пн","вт","ср","чт","пт","сб","вс")</f>
        <v>чт</v>
      </c>
      <c r="JX6" s="7" t="str">
        <f aca="false">CHOOSE(WEEKDAY(JX5,2),"пн","вт","ср","чт","пт","сб","вс")</f>
        <v>пт</v>
      </c>
      <c r="JY6" s="7" t="str">
        <f aca="false">CHOOSE(WEEKDAY(JY5,2),"пн","вт","ср","чт","пт","сб","вс")</f>
        <v>сб</v>
      </c>
      <c r="JZ6" s="7" t="str">
        <f aca="false">CHOOSE(WEEKDAY(JZ5,2),"пн","вт","ср","чт","пт","сб","вс")</f>
        <v>вс</v>
      </c>
      <c r="KA6" s="7" t="str">
        <f aca="false">CHOOSE(WEEKDAY(KA5,2),"пн","вт","ср","чт","пт","сб","вс")</f>
        <v>пн</v>
      </c>
      <c r="KB6" s="7" t="str">
        <f aca="false">CHOOSE(WEEKDAY(KB5,2),"пн","вт","ср","чт","пт","сб","вс")</f>
        <v>вт</v>
      </c>
      <c r="KC6" s="7" t="str">
        <f aca="false">CHOOSE(WEEKDAY(KC5,2),"пн","вт","ср","чт","пт","сб","вс")</f>
        <v>ср</v>
      </c>
      <c r="KD6" s="7" t="str">
        <f aca="false">CHOOSE(WEEKDAY(KD5,2),"пн","вт","ср","чт","пт","сб","вс")</f>
        <v>чт</v>
      </c>
      <c r="KE6" s="7" t="str">
        <f aca="false">CHOOSE(WEEKDAY(KE5,2),"пн","вт","ср","чт","пт","сб","вс")</f>
        <v>пт</v>
      </c>
      <c r="KF6" s="7" t="str">
        <f aca="false">CHOOSE(WEEKDAY(KF5,2),"пн","вт","ср","чт","пт","сб","вс")</f>
        <v>сб</v>
      </c>
      <c r="KG6" s="7" t="str">
        <f aca="false">CHOOSE(WEEKDAY(KG5,2),"пн","вт","ср","чт","пт","сб","вс")</f>
        <v>вс</v>
      </c>
      <c r="KH6" s="7" t="str">
        <f aca="false">CHOOSE(WEEKDAY(KH5,2),"пн","вт","ср","чт","пт","сб","вс")</f>
        <v>пн</v>
      </c>
      <c r="KI6" s="7" t="str">
        <f aca="false">CHOOSE(WEEKDAY(KI5,2),"пн","вт","ср","чт","пт","сб","вс")</f>
        <v>вт</v>
      </c>
      <c r="KJ6" s="7" t="str">
        <f aca="false">CHOOSE(WEEKDAY(KJ5,2),"пн","вт","ср","чт","пт","сб","вс")</f>
        <v>ср</v>
      </c>
      <c r="KK6" s="7" t="str">
        <f aca="false">CHOOSE(WEEKDAY(KK5,2),"пн","вт","ср","чт","пт","сб","вс")</f>
        <v>чт</v>
      </c>
      <c r="KL6" s="7" t="str">
        <f aca="false">CHOOSE(WEEKDAY(KL5,2),"пн","вт","ср","чт","пт","сб","вс")</f>
        <v>пт</v>
      </c>
      <c r="KM6" s="7" t="str">
        <f aca="false">CHOOSE(WEEKDAY(KM5,2),"пн","вт","ср","чт","пт","сб","вс")</f>
        <v>сб</v>
      </c>
      <c r="KN6" s="7" t="str">
        <f aca="false">CHOOSE(WEEKDAY(KN5,2),"пн","вт","ср","чт","пт","сб","вс")</f>
        <v>вс</v>
      </c>
      <c r="KO6" s="7" t="str">
        <f aca="false">CHOOSE(WEEKDAY(KO5,2),"пн","вт","ср","чт","пт","сб","вс")</f>
        <v>пн</v>
      </c>
      <c r="KP6" s="7" t="str">
        <f aca="false">CHOOSE(WEEKDAY(KP5,2),"пн","вт","ср","чт","пт","сб","вс")</f>
        <v>вт</v>
      </c>
      <c r="KQ6" s="7" t="str">
        <f aca="false">CHOOSE(WEEKDAY(KQ5,2),"пн","вт","ср","чт","пт","сб","вс")</f>
        <v>ср</v>
      </c>
      <c r="KR6" s="7" t="str">
        <f aca="false">CHOOSE(WEEKDAY(KR5,2),"пн","вт","ср","чт","пт","сб","вс")</f>
        <v>чт</v>
      </c>
      <c r="KS6" s="7" t="str">
        <f aca="false">CHOOSE(WEEKDAY(KS5,2),"пн","вт","ср","чт","пт","сб","вс")</f>
        <v>пт</v>
      </c>
      <c r="KT6" s="7" t="str">
        <f aca="false">CHOOSE(WEEKDAY(KT5,2),"пн","вт","ср","чт","пт","сб","вс")</f>
        <v>сб</v>
      </c>
      <c r="KU6" s="7" t="str">
        <f aca="false">CHOOSE(WEEKDAY(KU5,2),"пн","вт","ср","чт","пт","сб","вс")</f>
        <v>вс</v>
      </c>
      <c r="KV6" s="7" t="str">
        <f aca="false">CHOOSE(WEEKDAY(KV5,2),"пн","вт","ср","чт","пт","сб","вс")</f>
        <v>пн</v>
      </c>
      <c r="KW6" s="7" t="str">
        <f aca="false">CHOOSE(WEEKDAY(KW5,2),"пн","вт","ср","чт","пт","сб","вс")</f>
        <v>вт</v>
      </c>
      <c r="KX6" s="7" t="str">
        <f aca="false">CHOOSE(WEEKDAY(KX5,2),"пн","вт","ср","чт","пт","сб","вс")</f>
        <v>ср</v>
      </c>
      <c r="KY6" s="7" t="str">
        <f aca="false">CHOOSE(WEEKDAY(KY5,2),"пн","вт","ср","чт","пт","сб","вс")</f>
        <v>чт</v>
      </c>
      <c r="KZ6" s="7" t="str">
        <f aca="false">CHOOSE(WEEKDAY(KZ5,2),"пн","вт","ср","чт","пт","сб","вс")</f>
        <v>пт</v>
      </c>
      <c r="LA6" s="7" t="str">
        <f aca="false">CHOOSE(WEEKDAY(LA5,2),"пн","вт","ср","чт","пт","сб","вс")</f>
        <v>сб</v>
      </c>
      <c r="LB6" s="7" t="str">
        <f aca="false">CHOOSE(WEEKDAY(LB5,2),"пн","вт","ср","чт","пт","сб","вс")</f>
        <v>вс</v>
      </c>
      <c r="LC6" s="7" t="str">
        <f aca="false">CHOOSE(WEEKDAY(LC5,2),"пн","вт","ср","чт","пт","сб","вс")</f>
        <v>пн</v>
      </c>
      <c r="LD6" s="7" t="str">
        <f aca="false">CHOOSE(WEEKDAY(LD5,2),"пн","вт","ср","чт","пт","сб","вс")</f>
        <v>вт</v>
      </c>
      <c r="LE6" s="7" t="str">
        <f aca="false">CHOOSE(WEEKDAY(LE5,2),"пн","вт","ср","чт","пт","сб","вс")</f>
        <v>ср</v>
      </c>
      <c r="LF6" s="7" t="str">
        <f aca="false">CHOOSE(WEEKDAY(LF5,2),"пн","вт","ср","чт","пт","сб","вс")</f>
        <v>чт</v>
      </c>
      <c r="LG6" s="7" t="str">
        <f aca="false">CHOOSE(WEEKDAY(LG5,2),"пн","вт","ср","чт","пт","сб","вс")</f>
        <v>пт</v>
      </c>
      <c r="LH6" s="7" t="str">
        <f aca="false">CHOOSE(WEEKDAY(LH5,2),"пн","вт","ср","чт","пт","сб","вс")</f>
        <v>сб</v>
      </c>
      <c r="LI6" s="7" t="str">
        <f aca="false">CHOOSE(WEEKDAY(LI5,2),"пн","вт","ср","чт","пт","сб","вс")</f>
        <v>вс</v>
      </c>
      <c r="LJ6" s="7" t="str">
        <f aca="false">CHOOSE(WEEKDAY(LJ5,2),"пн","вт","ср","чт","пт","сб","вс")</f>
        <v>пн</v>
      </c>
      <c r="LK6" s="7" t="str">
        <f aca="false">CHOOSE(WEEKDAY(LK5,2),"пн","вт","ср","чт","пт","сб","вс")</f>
        <v>вт</v>
      </c>
      <c r="LL6" s="7" t="str">
        <f aca="false">CHOOSE(WEEKDAY(LL5,2),"пн","вт","ср","чт","пт","сб","вс")</f>
        <v>ср</v>
      </c>
      <c r="LM6" s="7" t="str">
        <f aca="false">CHOOSE(WEEKDAY(LM5,2),"пн","вт","ср","чт","пт","сб","вс")</f>
        <v>чт</v>
      </c>
      <c r="LN6" s="7" t="str">
        <f aca="false">CHOOSE(WEEKDAY(LN5,2),"пн","вт","ср","чт","пт","сб","вс")</f>
        <v>пт</v>
      </c>
      <c r="LO6" s="7" t="str">
        <f aca="false">CHOOSE(WEEKDAY(LO5,2),"пн","вт","ср","чт","пт","сб","вс")</f>
        <v>сб</v>
      </c>
      <c r="LP6" s="7" t="str">
        <f aca="false">CHOOSE(WEEKDAY(LP5,2),"пн","вт","ср","чт","пт","сб","вс")</f>
        <v>вс</v>
      </c>
      <c r="LQ6" s="7" t="str">
        <f aca="false">CHOOSE(WEEKDAY(LQ5,2),"пн","вт","ср","чт","пт","сб","вс")</f>
        <v>пн</v>
      </c>
      <c r="LR6" s="7" t="str">
        <f aca="false">CHOOSE(WEEKDAY(LR5,2),"пн","вт","ср","чт","пт","сб","вс")</f>
        <v>вт</v>
      </c>
      <c r="LS6" s="7" t="str">
        <f aca="false">CHOOSE(WEEKDAY(LS5,2),"пн","вт","ср","чт","пт","сб","вс")</f>
        <v>ср</v>
      </c>
      <c r="LT6" s="7" t="str">
        <f aca="false">CHOOSE(WEEKDAY(LT5,2),"пн","вт","ср","чт","пт","сб","вс")</f>
        <v>чт</v>
      </c>
      <c r="LU6" s="7" t="str">
        <f aca="false">CHOOSE(WEEKDAY(LU5,2),"пн","вт","ср","чт","пт","сб","вс")</f>
        <v>пт</v>
      </c>
      <c r="LV6" s="7" t="str">
        <f aca="false">CHOOSE(WEEKDAY(LV5,2),"пн","вт","ср","чт","пт","сб","вс")</f>
        <v>сб</v>
      </c>
      <c r="LW6" s="7" t="str">
        <f aca="false">CHOOSE(WEEKDAY(LW5,2),"пн","вт","ср","чт","пт","сб","вс")</f>
        <v>вс</v>
      </c>
      <c r="LX6" s="7" t="str">
        <f aca="false">CHOOSE(WEEKDAY(LX5,2),"пн","вт","ср","чт","пт","сб","вс")</f>
        <v>пн</v>
      </c>
      <c r="LY6" s="7" t="str">
        <f aca="false">CHOOSE(WEEKDAY(LY5,2),"пн","вт","ср","чт","пт","сб","вс")</f>
        <v>вт</v>
      </c>
      <c r="LZ6" s="7" t="str">
        <f aca="false">CHOOSE(WEEKDAY(LZ5,2),"пн","вт","ср","чт","пт","сб","вс")</f>
        <v>ср</v>
      </c>
      <c r="MA6" s="7" t="str">
        <f aca="false">CHOOSE(WEEKDAY(MA5,2),"пн","вт","ср","чт","пт","сб","вс")</f>
        <v>чт</v>
      </c>
      <c r="MB6" s="7" t="str">
        <f aca="false">CHOOSE(WEEKDAY(MB5,2),"пн","вт","ср","чт","пт","сб","вс")</f>
        <v>пт</v>
      </c>
      <c r="MC6" s="7" t="str">
        <f aca="false">CHOOSE(WEEKDAY(MC5,2),"пн","вт","ср","чт","пт","сб","вс")</f>
        <v>сб</v>
      </c>
      <c r="MD6" s="7" t="str">
        <f aca="false">CHOOSE(WEEKDAY(MD5,2),"пн","вт","ср","чт","пт","сб","вс")</f>
        <v>вс</v>
      </c>
      <c r="ME6" s="7" t="str">
        <f aca="false">CHOOSE(WEEKDAY(ME5,2),"пн","вт","ср","чт","пт","сб","вс")</f>
        <v>пн</v>
      </c>
      <c r="MF6" s="7" t="str">
        <f aca="false">CHOOSE(WEEKDAY(MF5,2),"пн","вт","ср","чт","пт","сб","вс")</f>
        <v>вт</v>
      </c>
      <c r="MG6" s="7" t="str">
        <f aca="false">CHOOSE(WEEKDAY(MG5,2),"пн","вт","ср","чт","пт","сб","вс")</f>
        <v>ср</v>
      </c>
      <c r="MH6" s="7" t="str">
        <f aca="false">CHOOSE(WEEKDAY(MH5,2),"пн","вт","ср","чт","пт","сб","вс")</f>
        <v>чт</v>
      </c>
      <c r="MI6" s="7" t="str">
        <f aca="false">CHOOSE(WEEKDAY(MI5,2),"пн","вт","ср","чт","пт","сб","вс")</f>
        <v>пт</v>
      </c>
      <c r="MJ6" s="7" t="str">
        <f aca="false">CHOOSE(WEEKDAY(MJ5,2),"пн","вт","ср","чт","пт","сб","вс")</f>
        <v>сб</v>
      </c>
      <c r="MK6" s="7" t="str">
        <f aca="false">CHOOSE(WEEKDAY(MK5,2),"пн","вт","ср","чт","пт","сб","вс")</f>
        <v>вс</v>
      </c>
      <c r="ML6" s="7" t="str">
        <f aca="false">CHOOSE(WEEKDAY(ML5,2),"пн","вт","ср","чт","пт","сб","вс")</f>
        <v>пн</v>
      </c>
      <c r="MM6" s="7" t="str">
        <f aca="false">CHOOSE(WEEKDAY(MM5,2),"пн","вт","ср","чт","пт","сб","вс")</f>
        <v>вт</v>
      </c>
      <c r="MN6" s="7" t="str">
        <f aca="false">CHOOSE(WEEKDAY(MN5,2),"пн","вт","ср","чт","пт","сб","вс")</f>
        <v>ср</v>
      </c>
      <c r="MO6" s="7" t="str">
        <f aca="false">CHOOSE(WEEKDAY(MO5,2),"пн","вт","ср","чт","пт","сб","вс")</f>
        <v>чт</v>
      </c>
      <c r="MP6" s="7" t="str">
        <f aca="false">CHOOSE(WEEKDAY(MP5,2),"пн","вт","ср","чт","пт","сб","вс")</f>
        <v>пт</v>
      </c>
      <c r="MQ6" s="7" t="str">
        <f aca="false">CHOOSE(WEEKDAY(MQ5,2),"пн","вт","ср","чт","пт","сб","вс")</f>
        <v>сб</v>
      </c>
      <c r="MR6" s="7" t="str">
        <f aca="false">CHOOSE(WEEKDAY(MR5,2),"пн","вт","ср","чт","пт","сб","вс")</f>
        <v>вс</v>
      </c>
      <c r="MS6" s="7" t="str">
        <f aca="false">CHOOSE(WEEKDAY(MS5,2),"пн","вт","ср","чт","пт","сб","вс")</f>
        <v>пн</v>
      </c>
      <c r="MT6" s="7" t="str">
        <f aca="false">CHOOSE(WEEKDAY(MT5,2),"пн","вт","ср","чт","пт","сб","вс")</f>
        <v>вт</v>
      </c>
      <c r="MU6" s="7" t="str">
        <f aca="false">CHOOSE(WEEKDAY(MU5,2),"пн","вт","ср","чт","пт","сб","вс")</f>
        <v>ср</v>
      </c>
      <c r="MV6" s="7" t="str">
        <f aca="false">CHOOSE(WEEKDAY(MV5,2),"пн","вт","ср","чт","пт","сб","вс")</f>
        <v>чт</v>
      </c>
      <c r="MW6" s="7" t="str">
        <f aca="false">CHOOSE(WEEKDAY(MW5,2),"пн","вт","ср","чт","пт","сб","вс")</f>
        <v>пт</v>
      </c>
      <c r="MX6" s="7" t="str">
        <f aca="false">CHOOSE(WEEKDAY(MX5,2),"пн","вт","ср","чт","пт","сб","вс")</f>
        <v>сб</v>
      </c>
      <c r="MY6" s="7" t="str">
        <f aca="false">CHOOSE(WEEKDAY(MY5,2),"пн","вт","ср","чт","пт","сб","вс")</f>
        <v>вс</v>
      </c>
      <c r="MZ6" s="7" t="str">
        <f aca="false">CHOOSE(WEEKDAY(MZ5,2),"пн","вт","ср","чт","пт","сб","вс")</f>
        <v>пн</v>
      </c>
      <c r="NA6" s="7" t="str">
        <f aca="false">CHOOSE(WEEKDAY(NA5,2),"пн","вт","ср","чт","пт","сб","вс")</f>
        <v>вт</v>
      </c>
      <c r="NB6" s="7" t="str">
        <f aca="false">CHOOSE(WEEKDAY(NB5,2),"пн","вт","ср","чт","пт","сб","вс")</f>
        <v>ср</v>
      </c>
      <c r="NC6" s="7" t="str">
        <f aca="false">CHOOSE(WEEKDAY(NC5,2),"пн","вт","ср","чт","пт","сб","вс")</f>
        <v>чт</v>
      </c>
      <c r="ND6" s="7" t="str">
        <f aca="false">CHOOSE(WEEKDAY(ND5,2),"пн","вт","ср","чт","пт","сб","вс")</f>
        <v>пт</v>
      </c>
    </row>
    <row r="7" customFormat="false" ht="18" hidden="false" customHeight="true" outlineLevel="0" collapsed="false">
      <c r="A7" s="8" t="s">
        <v>17</v>
      </c>
      <c r="B7" s="9" t="n">
        <f aca="false">COUNTIF(D7:ND7,"О")</f>
        <v>55</v>
      </c>
      <c r="C7" s="9" t="n">
        <f aca="false">SUMIF(Отпуска!$A$5:$A$17,$A7,Отпуска!$C$5:$C$17)</f>
        <v>55</v>
      </c>
      <c r="D7" s="10" t="str">
        <f aca="false">IF(SUMPRODUCT((Отпуска!$A$5:$A$17=$A7)*(Отпуска!$B$5:$B$17&lt;=D$5)*(Отпуска!$D$5:$D$17&gt;=D$5))&gt;0,"О","")</f>
        <v/>
      </c>
      <c r="E7" s="10" t="str">
        <f aca="false">IF(SUMPRODUCT((Отпуска!$A$5:$A$17=$A7)*(Отпуска!$B$5:$B$17&lt;=E$5)*(Отпуска!$D$5:$D$17&gt;=E$5))&gt;0,"О","")</f>
        <v/>
      </c>
      <c r="F7" s="10" t="str">
        <f aca="false">IF(SUMPRODUCT((Отпуска!$A$5:$A$17=$A7)*(Отпуска!$B$5:$B$17&lt;=F$5)*(Отпуска!$D$5:$D$17&gt;=F$5))&gt;0,"О","")</f>
        <v/>
      </c>
      <c r="G7" s="10" t="str">
        <f aca="false">IF(SUMPRODUCT((Отпуска!$A$5:$A$17=$A7)*(Отпуска!$B$5:$B$17&lt;=G$5)*(Отпуска!$D$5:$D$17&gt;=G$5))&gt;0,"О","")</f>
        <v/>
      </c>
      <c r="H7" s="10" t="str">
        <f aca="false">IF(SUMPRODUCT((Отпуска!$A$5:$A$17=$A7)*(Отпуска!$B$5:$B$17&lt;=H$5)*(Отпуска!$D$5:$D$17&gt;=H$5))&gt;0,"О","")</f>
        <v/>
      </c>
      <c r="I7" s="10" t="str">
        <f aca="false">IF(SUMPRODUCT((Отпуска!$A$5:$A$17=$A7)*(Отпуска!$B$5:$B$17&lt;=I$5)*(Отпуска!$D$5:$D$17&gt;=I$5))&gt;0,"О","")</f>
        <v/>
      </c>
      <c r="J7" s="10" t="str">
        <f aca="false">IF(SUMPRODUCT((Отпуска!$A$5:$A$17=$A7)*(Отпуска!$B$5:$B$17&lt;=J$5)*(Отпуска!$D$5:$D$17&gt;=J$5))&gt;0,"О","")</f>
        <v/>
      </c>
      <c r="K7" s="10" t="str">
        <f aca="false">IF(SUMPRODUCT((Отпуска!$A$5:$A$17=$A7)*(Отпуска!$B$5:$B$17&lt;=K$5)*(Отпуска!$D$5:$D$17&gt;=K$5))&gt;0,"О","")</f>
        <v/>
      </c>
      <c r="L7" s="10" t="str">
        <f aca="false">IF(SUMPRODUCT((Отпуска!$A$5:$A$17=$A7)*(Отпуска!$B$5:$B$17&lt;=L$5)*(Отпуска!$D$5:$D$17&gt;=L$5))&gt;0,"О","")</f>
        <v/>
      </c>
      <c r="M7" s="10" t="str">
        <f aca="false">IF(SUMPRODUCT((Отпуска!$A$5:$A$17=$A7)*(Отпуска!$B$5:$B$17&lt;=M$5)*(Отпуска!$D$5:$D$17&gt;=M$5))&gt;0,"О","")</f>
        <v/>
      </c>
      <c r="N7" s="10" t="str">
        <f aca="false">IF(SUMPRODUCT((Отпуска!$A$5:$A$17=$A7)*(Отпуска!$B$5:$B$17&lt;=N$5)*(Отпуска!$D$5:$D$17&gt;=N$5))&gt;0,"О","")</f>
        <v/>
      </c>
      <c r="O7" s="10" t="str">
        <f aca="false">IF(SUMPRODUCT((Отпуска!$A$5:$A$17=$A7)*(Отпуска!$B$5:$B$17&lt;=O$5)*(Отпуска!$D$5:$D$17&gt;=O$5))&gt;0,"О","")</f>
        <v/>
      </c>
      <c r="P7" s="10" t="str">
        <f aca="false">IF(SUMPRODUCT((Отпуска!$A$5:$A$17=$A7)*(Отпуска!$B$5:$B$17&lt;=P$5)*(Отпуска!$D$5:$D$17&gt;=P$5))&gt;0,"О","")</f>
        <v/>
      </c>
      <c r="Q7" s="10" t="str">
        <f aca="false">IF(SUMPRODUCT((Отпуска!$A$5:$A$17=$A7)*(Отпуска!$B$5:$B$17&lt;=Q$5)*(Отпуска!$D$5:$D$17&gt;=Q$5))&gt;0,"О","")</f>
        <v/>
      </c>
      <c r="R7" s="10" t="str">
        <f aca="false">IF(SUMPRODUCT((Отпуска!$A$5:$A$17=$A7)*(Отпуска!$B$5:$B$17&lt;=R$5)*(Отпуска!$D$5:$D$17&gt;=R$5))&gt;0,"О","")</f>
        <v/>
      </c>
      <c r="S7" s="10" t="str">
        <f aca="false">IF(SUMPRODUCT((Отпуска!$A$5:$A$17=$A7)*(Отпуска!$B$5:$B$17&lt;=S$5)*(Отпуска!$D$5:$D$17&gt;=S$5))&gt;0,"О","")</f>
        <v/>
      </c>
      <c r="T7" s="10" t="str">
        <f aca="false">IF(SUMPRODUCT((Отпуска!$A$5:$A$17=$A7)*(Отпуска!$B$5:$B$17&lt;=T$5)*(Отпуска!$D$5:$D$17&gt;=T$5))&gt;0,"О","")</f>
        <v/>
      </c>
      <c r="U7" s="10" t="str">
        <f aca="false">IF(SUMPRODUCT((Отпуска!$A$5:$A$17=$A7)*(Отпуска!$B$5:$B$17&lt;=U$5)*(Отпуска!$D$5:$D$17&gt;=U$5))&gt;0,"О","")</f>
        <v/>
      </c>
      <c r="V7" s="10" t="str">
        <f aca="false">IF(SUMPRODUCT((Отпуска!$A$5:$A$17=$A7)*(Отпуска!$B$5:$B$17&lt;=V$5)*(Отпуска!$D$5:$D$17&gt;=V$5))&gt;0,"О","")</f>
        <v/>
      </c>
      <c r="W7" s="10" t="str">
        <f aca="false">IF(SUMPRODUCT((Отпуска!$A$5:$A$17=$A7)*(Отпуска!$B$5:$B$17&lt;=W$5)*(Отпуска!$D$5:$D$17&gt;=W$5))&gt;0,"О","")</f>
        <v/>
      </c>
      <c r="X7" s="10" t="str">
        <f aca="false">IF(SUMPRODUCT((Отпуска!$A$5:$A$17=$A7)*(Отпуска!$B$5:$B$17&lt;=X$5)*(Отпуска!$D$5:$D$17&gt;=X$5))&gt;0,"О","")</f>
        <v/>
      </c>
      <c r="Y7" s="10" t="str">
        <f aca="false">IF(SUMPRODUCT((Отпуска!$A$5:$A$17=$A7)*(Отпуска!$B$5:$B$17&lt;=Y$5)*(Отпуска!$D$5:$D$17&gt;=Y$5))&gt;0,"О","")</f>
        <v/>
      </c>
      <c r="Z7" s="10" t="str">
        <f aca="false">IF(SUMPRODUCT((Отпуска!$A$5:$A$17=$A7)*(Отпуска!$B$5:$B$17&lt;=Z$5)*(Отпуска!$D$5:$D$17&gt;=Z$5))&gt;0,"О","")</f>
        <v/>
      </c>
      <c r="AA7" s="10" t="str">
        <f aca="false">IF(SUMPRODUCT((Отпуска!$A$5:$A$17=$A7)*(Отпуска!$B$5:$B$17&lt;=AA$5)*(Отпуска!$D$5:$D$17&gt;=AA$5))&gt;0,"О","")</f>
        <v/>
      </c>
      <c r="AB7" s="10" t="str">
        <f aca="false">IF(SUMPRODUCT((Отпуска!$A$5:$A$17=$A7)*(Отпуска!$B$5:$B$17&lt;=AB$5)*(Отпуска!$D$5:$D$17&gt;=AB$5))&gt;0,"О","")</f>
        <v/>
      </c>
      <c r="AC7" s="10" t="str">
        <f aca="false">IF(SUMPRODUCT((Отпуска!$A$5:$A$17=$A7)*(Отпуска!$B$5:$B$17&lt;=AC$5)*(Отпуска!$D$5:$D$17&gt;=AC$5))&gt;0,"О","")</f>
        <v/>
      </c>
      <c r="AD7" s="10" t="str">
        <f aca="false">IF(SUMPRODUCT((Отпуска!$A$5:$A$17=$A7)*(Отпуска!$B$5:$B$17&lt;=AD$5)*(Отпуска!$D$5:$D$17&gt;=AD$5))&gt;0,"О","")</f>
        <v/>
      </c>
      <c r="AE7" s="10" t="str">
        <f aca="false">IF(SUMPRODUCT((Отпуска!$A$5:$A$17=$A7)*(Отпуска!$B$5:$B$17&lt;=AE$5)*(Отпуска!$D$5:$D$17&gt;=AE$5))&gt;0,"О","")</f>
        <v/>
      </c>
      <c r="AF7" s="10" t="str">
        <f aca="false">IF(SUMPRODUCT((Отпуска!$A$5:$A$17=$A7)*(Отпуска!$B$5:$B$17&lt;=AF$5)*(Отпуска!$D$5:$D$17&gt;=AF$5))&gt;0,"О","")</f>
        <v/>
      </c>
      <c r="AG7" s="10" t="str">
        <f aca="false">IF(SUMPRODUCT((Отпуска!$A$5:$A$17=$A7)*(Отпуска!$B$5:$B$17&lt;=AG$5)*(Отпуска!$D$5:$D$17&gt;=AG$5))&gt;0,"О","")</f>
        <v/>
      </c>
      <c r="AH7" s="10" t="str">
        <f aca="false">IF(SUMPRODUCT((Отпуска!$A$5:$A$17=$A7)*(Отпуска!$B$5:$B$17&lt;=AH$5)*(Отпуска!$D$5:$D$17&gt;=AH$5))&gt;0,"О","")</f>
        <v/>
      </c>
      <c r="AI7" s="10" t="str">
        <f aca="false">IF(SUMPRODUCT((Отпуска!$A$5:$A$17=$A7)*(Отпуска!$B$5:$B$17&lt;=AI$5)*(Отпуска!$D$5:$D$17&gt;=AI$5))&gt;0,"О","")</f>
        <v/>
      </c>
      <c r="AJ7" s="10" t="str">
        <f aca="false">IF(SUMPRODUCT((Отпуска!$A$5:$A$17=$A7)*(Отпуска!$B$5:$B$17&lt;=AJ$5)*(Отпуска!$D$5:$D$17&gt;=AJ$5))&gt;0,"О","")</f>
        <v/>
      </c>
      <c r="AK7" s="10" t="str">
        <f aca="false">IF(SUMPRODUCT((Отпуска!$A$5:$A$17=$A7)*(Отпуска!$B$5:$B$17&lt;=AK$5)*(Отпуска!$D$5:$D$17&gt;=AK$5))&gt;0,"О","")</f>
        <v/>
      </c>
      <c r="AL7" s="10" t="str">
        <f aca="false">IF(SUMPRODUCT((Отпуска!$A$5:$A$17=$A7)*(Отпуска!$B$5:$B$17&lt;=AL$5)*(Отпуска!$D$5:$D$17&gt;=AL$5))&gt;0,"О","")</f>
        <v/>
      </c>
      <c r="AM7" s="10" t="str">
        <f aca="false">IF(SUMPRODUCT((Отпуска!$A$5:$A$17=$A7)*(Отпуска!$B$5:$B$17&lt;=AM$5)*(Отпуска!$D$5:$D$17&gt;=AM$5))&gt;0,"О","")</f>
        <v/>
      </c>
      <c r="AN7" s="10" t="str">
        <f aca="false">IF(SUMPRODUCT((Отпуска!$A$5:$A$17=$A7)*(Отпуска!$B$5:$B$17&lt;=AN$5)*(Отпуска!$D$5:$D$17&gt;=AN$5))&gt;0,"О","")</f>
        <v/>
      </c>
      <c r="AO7" s="10" t="str">
        <f aca="false">IF(SUMPRODUCT((Отпуска!$A$5:$A$17=$A7)*(Отпуска!$B$5:$B$17&lt;=AO$5)*(Отпуска!$D$5:$D$17&gt;=AO$5))&gt;0,"О","")</f>
        <v/>
      </c>
      <c r="AP7" s="10" t="str">
        <f aca="false">IF(SUMPRODUCT((Отпуска!$A$5:$A$17=$A7)*(Отпуска!$B$5:$B$17&lt;=AP$5)*(Отпуска!$D$5:$D$17&gt;=AP$5))&gt;0,"О","")</f>
        <v/>
      </c>
      <c r="AQ7" s="10" t="str">
        <f aca="false">IF(SUMPRODUCT((Отпуска!$A$5:$A$17=$A7)*(Отпуска!$B$5:$B$17&lt;=AQ$5)*(Отпуска!$D$5:$D$17&gt;=AQ$5))&gt;0,"О","")</f>
        <v/>
      </c>
      <c r="AR7" s="10" t="str">
        <f aca="false">IF(SUMPRODUCT((Отпуска!$A$5:$A$17=$A7)*(Отпуска!$B$5:$B$17&lt;=AR$5)*(Отпуска!$D$5:$D$17&gt;=AR$5))&gt;0,"О","")</f>
        <v/>
      </c>
      <c r="AS7" s="10" t="str">
        <f aca="false">IF(SUMPRODUCT((Отпуска!$A$5:$A$17=$A7)*(Отпуска!$B$5:$B$17&lt;=AS$5)*(Отпуска!$D$5:$D$17&gt;=AS$5))&gt;0,"О","")</f>
        <v/>
      </c>
      <c r="AT7" s="10" t="str">
        <f aca="false">IF(SUMPRODUCT((Отпуска!$A$5:$A$17=$A7)*(Отпуска!$B$5:$B$17&lt;=AT$5)*(Отпуска!$D$5:$D$17&gt;=AT$5))&gt;0,"О","")</f>
        <v/>
      </c>
      <c r="AU7" s="10" t="str">
        <f aca="false">IF(SUMPRODUCT((Отпуска!$A$5:$A$17=$A7)*(Отпуска!$B$5:$B$17&lt;=AU$5)*(Отпуска!$D$5:$D$17&gt;=AU$5))&gt;0,"О","")</f>
        <v/>
      </c>
      <c r="AV7" s="10" t="str">
        <f aca="false">IF(SUMPRODUCT((Отпуска!$A$5:$A$17=$A7)*(Отпуска!$B$5:$B$17&lt;=AV$5)*(Отпуска!$D$5:$D$17&gt;=AV$5))&gt;0,"О","")</f>
        <v/>
      </c>
      <c r="AW7" s="10" t="str">
        <f aca="false">IF(SUMPRODUCT((Отпуска!$A$5:$A$17=$A7)*(Отпуска!$B$5:$B$17&lt;=AW$5)*(Отпуска!$D$5:$D$17&gt;=AW$5))&gt;0,"О","")</f>
        <v>О</v>
      </c>
      <c r="AX7" s="10" t="str">
        <f aca="false">IF(SUMPRODUCT((Отпуска!$A$5:$A$17=$A7)*(Отпуска!$B$5:$B$17&lt;=AX$5)*(Отпуска!$D$5:$D$17&gt;=AX$5))&gt;0,"О","")</f>
        <v>О</v>
      </c>
      <c r="AY7" s="10" t="str">
        <f aca="false">IF(SUMPRODUCT((Отпуска!$A$5:$A$17=$A7)*(Отпуска!$B$5:$B$17&lt;=AY$5)*(Отпуска!$D$5:$D$17&gt;=AY$5))&gt;0,"О","")</f>
        <v>О</v>
      </c>
      <c r="AZ7" s="10" t="str">
        <f aca="false">IF(SUMPRODUCT((Отпуска!$A$5:$A$17=$A7)*(Отпуска!$B$5:$B$17&lt;=AZ$5)*(Отпуска!$D$5:$D$17&gt;=AZ$5))&gt;0,"О","")</f>
        <v>О</v>
      </c>
      <c r="BA7" s="10" t="str">
        <f aca="false">IF(SUMPRODUCT((Отпуска!$A$5:$A$17=$A7)*(Отпуска!$B$5:$B$17&lt;=BA$5)*(Отпуска!$D$5:$D$17&gt;=BA$5))&gt;0,"О","")</f>
        <v>О</v>
      </c>
      <c r="BB7" s="10" t="str">
        <f aca="false">IF(SUMPRODUCT((Отпуска!$A$5:$A$17=$A7)*(Отпуска!$B$5:$B$17&lt;=BB$5)*(Отпуска!$D$5:$D$17&gt;=BB$5))&gt;0,"О","")</f>
        <v>О</v>
      </c>
      <c r="BC7" s="10" t="str">
        <f aca="false">IF(SUMPRODUCT((Отпуска!$A$5:$A$17=$A7)*(Отпуска!$B$5:$B$17&lt;=BC$5)*(Отпуска!$D$5:$D$17&gt;=BC$5))&gt;0,"О","")</f>
        <v>О</v>
      </c>
      <c r="BD7" s="10" t="str">
        <f aca="false">IF(SUMPRODUCT((Отпуска!$A$5:$A$17=$A7)*(Отпуска!$B$5:$B$17&lt;=BD$5)*(Отпуска!$D$5:$D$17&gt;=BD$5))&gt;0,"О","")</f>
        <v>О</v>
      </c>
      <c r="BE7" s="10" t="str">
        <f aca="false">IF(SUMPRODUCT((Отпуска!$A$5:$A$17=$A7)*(Отпуска!$B$5:$B$17&lt;=BE$5)*(Отпуска!$D$5:$D$17&gt;=BE$5))&gt;0,"О","")</f>
        <v>О</v>
      </c>
      <c r="BF7" s="10" t="str">
        <f aca="false">IF(SUMPRODUCT((Отпуска!$A$5:$A$17=$A7)*(Отпуска!$B$5:$B$17&lt;=BF$5)*(Отпуска!$D$5:$D$17&gt;=BF$5))&gt;0,"О","")</f>
        <v>О</v>
      </c>
      <c r="BG7" s="10" t="str">
        <f aca="false">IF(SUMPRODUCT((Отпуска!$A$5:$A$17=$A7)*(Отпуска!$B$5:$B$17&lt;=BG$5)*(Отпуска!$D$5:$D$17&gt;=BG$5))&gt;0,"О","")</f>
        <v>О</v>
      </c>
      <c r="BH7" s="10" t="str">
        <f aca="false">IF(SUMPRODUCT((Отпуска!$A$5:$A$17=$A7)*(Отпуска!$B$5:$B$17&lt;=BH$5)*(Отпуска!$D$5:$D$17&gt;=BH$5))&gt;0,"О","")</f>
        <v/>
      </c>
      <c r="BI7" s="10" t="str">
        <f aca="false">IF(SUMPRODUCT((Отпуска!$A$5:$A$17=$A7)*(Отпуска!$B$5:$B$17&lt;=BI$5)*(Отпуска!$D$5:$D$17&gt;=BI$5))&gt;0,"О","")</f>
        <v/>
      </c>
      <c r="BJ7" s="10" t="str">
        <f aca="false">IF(SUMPRODUCT((Отпуска!$A$5:$A$17=$A7)*(Отпуска!$B$5:$B$17&lt;=BJ$5)*(Отпуска!$D$5:$D$17&gt;=BJ$5))&gt;0,"О","")</f>
        <v/>
      </c>
      <c r="BK7" s="10" t="str">
        <f aca="false">IF(SUMPRODUCT((Отпуска!$A$5:$A$17=$A7)*(Отпуска!$B$5:$B$17&lt;=BK$5)*(Отпуска!$D$5:$D$17&gt;=BK$5))&gt;0,"О","")</f>
        <v/>
      </c>
      <c r="BL7" s="10" t="str">
        <f aca="false">IF(SUMPRODUCT((Отпуска!$A$5:$A$17=$A7)*(Отпуска!$B$5:$B$17&lt;=BL$5)*(Отпуска!$D$5:$D$17&gt;=BL$5))&gt;0,"О","")</f>
        <v/>
      </c>
      <c r="BM7" s="10" t="str">
        <f aca="false">IF(SUMPRODUCT((Отпуска!$A$5:$A$17=$A7)*(Отпуска!$B$5:$B$17&lt;=BM$5)*(Отпуска!$D$5:$D$17&gt;=BM$5))&gt;0,"О","")</f>
        <v/>
      </c>
      <c r="BN7" s="10" t="str">
        <f aca="false">IF(SUMPRODUCT((Отпуска!$A$5:$A$17=$A7)*(Отпуска!$B$5:$B$17&lt;=BN$5)*(Отпуска!$D$5:$D$17&gt;=BN$5))&gt;0,"О","")</f>
        <v/>
      </c>
      <c r="BO7" s="10" t="str">
        <f aca="false">IF(SUMPRODUCT((Отпуска!$A$5:$A$17=$A7)*(Отпуска!$B$5:$B$17&lt;=BO$5)*(Отпуска!$D$5:$D$17&gt;=BO$5))&gt;0,"О","")</f>
        <v/>
      </c>
      <c r="BP7" s="10" t="str">
        <f aca="false">IF(SUMPRODUCT((Отпуска!$A$5:$A$17=$A7)*(Отпуска!$B$5:$B$17&lt;=BP$5)*(Отпуска!$D$5:$D$17&gt;=BP$5))&gt;0,"О","")</f>
        <v/>
      </c>
      <c r="BQ7" s="10" t="str">
        <f aca="false">IF(SUMPRODUCT((Отпуска!$A$5:$A$17=$A7)*(Отпуска!$B$5:$B$17&lt;=BQ$5)*(Отпуска!$D$5:$D$17&gt;=BQ$5))&gt;0,"О","")</f>
        <v/>
      </c>
      <c r="BR7" s="10" t="str">
        <f aca="false">IF(SUMPRODUCT((Отпуска!$A$5:$A$17=$A7)*(Отпуска!$B$5:$B$17&lt;=BR$5)*(Отпуска!$D$5:$D$17&gt;=BR$5))&gt;0,"О","")</f>
        <v/>
      </c>
      <c r="BS7" s="10" t="str">
        <f aca="false">IF(SUMPRODUCT((Отпуска!$A$5:$A$17=$A7)*(Отпуска!$B$5:$B$17&lt;=BS$5)*(Отпуска!$D$5:$D$17&gt;=BS$5))&gt;0,"О","")</f>
        <v/>
      </c>
      <c r="BT7" s="10" t="str">
        <f aca="false">IF(SUMPRODUCT((Отпуска!$A$5:$A$17=$A7)*(Отпуска!$B$5:$B$17&lt;=BT$5)*(Отпуска!$D$5:$D$17&gt;=BT$5))&gt;0,"О","")</f>
        <v/>
      </c>
      <c r="BU7" s="10" t="str">
        <f aca="false">IF(SUMPRODUCT((Отпуска!$A$5:$A$17=$A7)*(Отпуска!$B$5:$B$17&lt;=BU$5)*(Отпуска!$D$5:$D$17&gt;=BU$5))&gt;0,"О","")</f>
        <v/>
      </c>
      <c r="BV7" s="10" t="str">
        <f aca="false">IF(SUMPRODUCT((Отпуска!$A$5:$A$17=$A7)*(Отпуска!$B$5:$B$17&lt;=BV$5)*(Отпуска!$D$5:$D$17&gt;=BV$5))&gt;0,"О","")</f>
        <v/>
      </c>
      <c r="BW7" s="10" t="str">
        <f aca="false">IF(SUMPRODUCT((Отпуска!$A$5:$A$17=$A7)*(Отпуска!$B$5:$B$17&lt;=BW$5)*(Отпуска!$D$5:$D$17&gt;=BW$5))&gt;0,"О","")</f>
        <v/>
      </c>
      <c r="BX7" s="10" t="str">
        <f aca="false">IF(SUMPRODUCT((Отпуска!$A$5:$A$17=$A7)*(Отпуска!$B$5:$B$17&lt;=BX$5)*(Отпуска!$D$5:$D$17&gt;=BX$5))&gt;0,"О","")</f>
        <v/>
      </c>
      <c r="BY7" s="10" t="str">
        <f aca="false">IF(SUMPRODUCT((Отпуска!$A$5:$A$17=$A7)*(Отпуска!$B$5:$B$17&lt;=BY$5)*(Отпуска!$D$5:$D$17&gt;=BY$5))&gt;0,"О","")</f>
        <v/>
      </c>
      <c r="BZ7" s="10" t="str">
        <f aca="false">IF(SUMPRODUCT((Отпуска!$A$5:$A$17=$A7)*(Отпуска!$B$5:$B$17&lt;=BZ$5)*(Отпуска!$D$5:$D$17&gt;=BZ$5))&gt;0,"О","")</f>
        <v/>
      </c>
      <c r="CA7" s="10" t="str">
        <f aca="false">IF(SUMPRODUCT((Отпуска!$A$5:$A$17=$A7)*(Отпуска!$B$5:$B$17&lt;=CA$5)*(Отпуска!$D$5:$D$17&gt;=CA$5))&gt;0,"О","")</f>
        <v/>
      </c>
      <c r="CB7" s="10" t="str">
        <f aca="false">IF(SUMPRODUCT((Отпуска!$A$5:$A$17=$A7)*(Отпуска!$B$5:$B$17&lt;=CB$5)*(Отпуска!$D$5:$D$17&gt;=CB$5))&gt;0,"О","")</f>
        <v/>
      </c>
      <c r="CC7" s="10" t="str">
        <f aca="false">IF(SUMPRODUCT((Отпуска!$A$5:$A$17=$A7)*(Отпуска!$B$5:$B$17&lt;=CC$5)*(Отпуска!$D$5:$D$17&gt;=CC$5))&gt;0,"О","")</f>
        <v/>
      </c>
      <c r="CD7" s="10" t="str">
        <f aca="false">IF(SUMPRODUCT((Отпуска!$A$5:$A$17=$A7)*(Отпуска!$B$5:$B$17&lt;=CD$5)*(Отпуска!$D$5:$D$17&gt;=CD$5))&gt;0,"О","")</f>
        <v/>
      </c>
      <c r="CE7" s="10" t="str">
        <f aca="false">IF(SUMPRODUCT((Отпуска!$A$5:$A$17=$A7)*(Отпуска!$B$5:$B$17&lt;=CE$5)*(Отпуска!$D$5:$D$17&gt;=CE$5))&gt;0,"О","")</f>
        <v/>
      </c>
      <c r="CF7" s="10" t="str">
        <f aca="false">IF(SUMPRODUCT((Отпуска!$A$5:$A$17=$A7)*(Отпуска!$B$5:$B$17&lt;=CF$5)*(Отпуска!$D$5:$D$17&gt;=CF$5))&gt;0,"О","")</f>
        <v/>
      </c>
      <c r="CG7" s="10" t="str">
        <f aca="false">IF(SUMPRODUCT((Отпуска!$A$5:$A$17=$A7)*(Отпуска!$B$5:$B$17&lt;=CG$5)*(Отпуска!$D$5:$D$17&gt;=CG$5))&gt;0,"О","")</f>
        <v/>
      </c>
      <c r="CH7" s="10" t="str">
        <f aca="false">IF(SUMPRODUCT((Отпуска!$A$5:$A$17=$A7)*(Отпуска!$B$5:$B$17&lt;=CH$5)*(Отпуска!$D$5:$D$17&gt;=CH$5))&gt;0,"О","")</f>
        <v/>
      </c>
      <c r="CI7" s="10" t="str">
        <f aca="false">IF(SUMPRODUCT((Отпуска!$A$5:$A$17=$A7)*(Отпуска!$B$5:$B$17&lt;=CI$5)*(Отпуска!$D$5:$D$17&gt;=CI$5))&gt;0,"О","")</f>
        <v/>
      </c>
      <c r="CJ7" s="10" t="str">
        <f aca="false">IF(SUMPRODUCT((Отпуска!$A$5:$A$17=$A7)*(Отпуска!$B$5:$B$17&lt;=CJ$5)*(Отпуска!$D$5:$D$17&gt;=CJ$5))&gt;0,"О","")</f>
        <v/>
      </c>
      <c r="CK7" s="10" t="str">
        <f aca="false">IF(SUMPRODUCT((Отпуска!$A$5:$A$17=$A7)*(Отпуска!$B$5:$B$17&lt;=CK$5)*(Отпуска!$D$5:$D$17&gt;=CK$5))&gt;0,"О","")</f>
        <v/>
      </c>
      <c r="CL7" s="10" t="str">
        <f aca="false">IF(SUMPRODUCT((Отпуска!$A$5:$A$17=$A7)*(Отпуска!$B$5:$B$17&lt;=CL$5)*(Отпуска!$D$5:$D$17&gt;=CL$5))&gt;0,"О","")</f>
        <v/>
      </c>
      <c r="CM7" s="10" t="str">
        <f aca="false">IF(SUMPRODUCT((Отпуска!$A$5:$A$17=$A7)*(Отпуска!$B$5:$B$17&lt;=CM$5)*(Отпуска!$D$5:$D$17&gt;=CM$5))&gt;0,"О","")</f>
        <v/>
      </c>
      <c r="CN7" s="10" t="str">
        <f aca="false">IF(SUMPRODUCT((Отпуска!$A$5:$A$17=$A7)*(Отпуска!$B$5:$B$17&lt;=CN$5)*(Отпуска!$D$5:$D$17&gt;=CN$5))&gt;0,"О","")</f>
        <v/>
      </c>
      <c r="CO7" s="10" t="str">
        <f aca="false">IF(SUMPRODUCT((Отпуска!$A$5:$A$17=$A7)*(Отпуска!$B$5:$B$17&lt;=CO$5)*(Отпуска!$D$5:$D$17&gt;=CO$5))&gt;0,"О","")</f>
        <v/>
      </c>
      <c r="CP7" s="10" t="str">
        <f aca="false">IF(SUMPRODUCT((Отпуска!$A$5:$A$17=$A7)*(Отпуска!$B$5:$B$17&lt;=CP$5)*(Отпуска!$D$5:$D$17&gt;=CP$5))&gt;0,"О","")</f>
        <v/>
      </c>
      <c r="CQ7" s="10" t="str">
        <f aca="false">IF(SUMPRODUCT((Отпуска!$A$5:$A$17=$A7)*(Отпуска!$B$5:$B$17&lt;=CQ$5)*(Отпуска!$D$5:$D$17&gt;=CQ$5))&gt;0,"О","")</f>
        <v/>
      </c>
      <c r="CR7" s="10" t="str">
        <f aca="false">IF(SUMPRODUCT((Отпуска!$A$5:$A$17=$A7)*(Отпуска!$B$5:$B$17&lt;=CR$5)*(Отпуска!$D$5:$D$17&gt;=CR$5))&gt;0,"О","")</f>
        <v/>
      </c>
      <c r="CS7" s="10" t="str">
        <f aca="false">IF(SUMPRODUCT((Отпуска!$A$5:$A$17=$A7)*(Отпуска!$B$5:$B$17&lt;=CS$5)*(Отпуска!$D$5:$D$17&gt;=CS$5))&gt;0,"О","")</f>
        <v/>
      </c>
      <c r="CT7" s="10" t="str">
        <f aca="false">IF(SUMPRODUCT((Отпуска!$A$5:$A$17=$A7)*(Отпуска!$B$5:$B$17&lt;=CT$5)*(Отпуска!$D$5:$D$17&gt;=CT$5))&gt;0,"О","")</f>
        <v/>
      </c>
      <c r="CU7" s="10" t="str">
        <f aca="false">IF(SUMPRODUCT((Отпуска!$A$5:$A$17=$A7)*(Отпуска!$B$5:$B$17&lt;=CU$5)*(Отпуска!$D$5:$D$17&gt;=CU$5))&gt;0,"О","")</f>
        <v/>
      </c>
      <c r="CV7" s="10" t="str">
        <f aca="false">IF(SUMPRODUCT((Отпуска!$A$5:$A$17=$A7)*(Отпуска!$B$5:$B$17&lt;=CV$5)*(Отпуска!$D$5:$D$17&gt;=CV$5))&gt;0,"О","")</f>
        <v/>
      </c>
      <c r="CW7" s="10" t="str">
        <f aca="false">IF(SUMPRODUCT((Отпуска!$A$5:$A$17=$A7)*(Отпуска!$B$5:$B$17&lt;=CW$5)*(Отпуска!$D$5:$D$17&gt;=CW$5))&gt;0,"О","")</f>
        <v/>
      </c>
      <c r="CX7" s="10" t="str">
        <f aca="false">IF(SUMPRODUCT((Отпуска!$A$5:$A$17=$A7)*(Отпуска!$B$5:$B$17&lt;=CX$5)*(Отпуска!$D$5:$D$17&gt;=CX$5))&gt;0,"О","")</f>
        <v/>
      </c>
      <c r="CY7" s="10" t="str">
        <f aca="false">IF(SUMPRODUCT((Отпуска!$A$5:$A$17=$A7)*(Отпуска!$B$5:$B$17&lt;=CY$5)*(Отпуска!$D$5:$D$17&gt;=CY$5))&gt;0,"О","")</f>
        <v/>
      </c>
      <c r="CZ7" s="10" t="str">
        <f aca="false">IF(SUMPRODUCT((Отпуска!$A$5:$A$17=$A7)*(Отпуска!$B$5:$B$17&lt;=CZ$5)*(Отпуска!$D$5:$D$17&gt;=CZ$5))&gt;0,"О","")</f>
        <v/>
      </c>
      <c r="DA7" s="10" t="str">
        <f aca="false">IF(SUMPRODUCT((Отпуска!$A$5:$A$17=$A7)*(Отпуска!$B$5:$B$17&lt;=DA$5)*(Отпуска!$D$5:$D$17&gt;=DA$5))&gt;0,"О","")</f>
        <v/>
      </c>
      <c r="DB7" s="10" t="str">
        <f aca="false">IF(SUMPRODUCT((Отпуска!$A$5:$A$17=$A7)*(Отпуска!$B$5:$B$17&lt;=DB$5)*(Отпуска!$D$5:$D$17&gt;=DB$5))&gt;0,"О","")</f>
        <v/>
      </c>
      <c r="DC7" s="10" t="str">
        <f aca="false">IF(SUMPRODUCT((Отпуска!$A$5:$A$17=$A7)*(Отпуска!$B$5:$B$17&lt;=DC$5)*(Отпуска!$D$5:$D$17&gt;=DC$5))&gt;0,"О","")</f>
        <v/>
      </c>
      <c r="DD7" s="10" t="str">
        <f aca="false">IF(SUMPRODUCT((Отпуска!$A$5:$A$17=$A7)*(Отпуска!$B$5:$B$17&lt;=DD$5)*(Отпуска!$D$5:$D$17&gt;=DD$5))&gt;0,"О","")</f>
        <v/>
      </c>
      <c r="DE7" s="10" t="str">
        <f aca="false">IF(SUMPRODUCT((Отпуска!$A$5:$A$17=$A7)*(Отпуска!$B$5:$B$17&lt;=DE$5)*(Отпуска!$D$5:$D$17&gt;=DE$5))&gt;0,"О","")</f>
        <v/>
      </c>
      <c r="DF7" s="10" t="str">
        <f aca="false">IF(SUMPRODUCT((Отпуска!$A$5:$A$17=$A7)*(Отпуска!$B$5:$B$17&lt;=DF$5)*(Отпуска!$D$5:$D$17&gt;=DF$5))&gt;0,"О","")</f>
        <v/>
      </c>
      <c r="DG7" s="10" t="str">
        <f aca="false">IF(SUMPRODUCT((Отпуска!$A$5:$A$17=$A7)*(Отпуска!$B$5:$B$17&lt;=DG$5)*(Отпуска!$D$5:$D$17&gt;=DG$5))&gt;0,"О","")</f>
        <v/>
      </c>
      <c r="DH7" s="10" t="str">
        <f aca="false">IF(SUMPRODUCT((Отпуска!$A$5:$A$17=$A7)*(Отпуска!$B$5:$B$17&lt;=DH$5)*(Отпуска!$D$5:$D$17&gt;=DH$5))&gt;0,"О","")</f>
        <v/>
      </c>
      <c r="DI7" s="10" t="str">
        <f aca="false">IF(SUMPRODUCT((Отпуска!$A$5:$A$17=$A7)*(Отпуска!$B$5:$B$17&lt;=DI$5)*(Отпуска!$D$5:$D$17&gt;=DI$5))&gt;0,"О","")</f>
        <v/>
      </c>
      <c r="DJ7" s="10" t="str">
        <f aca="false">IF(SUMPRODUCT((Отпуска!$A$5:$A$17=$A7)*(Отпуска!$B$5:$B$17&lt;=DJ$5)*(Отпуска!$D$5:$D$17&gt;=DJ$5))&gt;0,"О","")</f>
        <v/>
      </c>
      <c r="DK7" s="10" t="str">
        <f aca="false">IF(SUMPRODUCT((Отпуска!$A$5:$A$17=$A7)*(Отпуска!$B$5:$B$17&lt;=DK$5)*(Отпуска!$D$5:$D$17&gt;=DK$5))&gt;0,"О","")</f>
        <v/>
      </c>
      <c r="DL7" s="10" t="str">
        <f aca="false">IF(SUMPRODUCT((Отпуска!$A$5:$A$17=$A7)*(Отпуска!$B$5:$B$17&lt;=DL$5)*(Отпуска!$D$5:$D$17&gt;=DL$5))&gt;0,"О","")</f>
        <v/>
      </c>
      <c r="DM7" s="10" t="str">
        <f aca="false">IF(SUMPRODUCT((Отпуска!$A$5:$A$17=$A7)*(Отпуска!$B$5:$B$17&lt;=DM$5)*(Отпуска!$D$5:$D$17&gt;=DM$5))&gt;0,"О","")</f>
        <v/>
      </c>
      <c r="DN7" s="10" t="str">
        <f aca="false">IF(SUMPRODUCT((Отпуска!$A$5:$A$17=$A7)*(Отпуска!$B$5:$B$17&lt;=DN$5)*(Отпуска!$D$5:$D$17&gt;=DN$5))&gt;0,"О","")</f>
        <v/>
      </c>
      <c r="DO7" s="10" t="str">
        <f aca="false">IF(SUMPRODUCT((Отпуска!$A$5:$A$17=$A7)*(Отпуска!$B$5:$B$17&lt;=DO$5)*(Отпуска!$D$5:$D$17&gt;=DO$5))&gt;0,"О","")</f>
        <v/>
      </c>
      <c r="DP7" s="10" t="str">
        <f aca="false">IF(SUMPRODUCT((Отпуска!$A$5:$A$17=$A7)*(Отпуска!$B$5:$B$17&lt;=DP$5)*(Отпуска!$D$5:$D$17&gt;=DP$5))&gt;0,"О","")</f>
        <v/>
      </c>
      <c r="DQ7" s="10" t="str">
        <f aca="false">IF(SUMPRODUCT((Отпуска!$A$5:$A$17=$A7)*(Отпуска!$B$5:$B$17&lt;=DQ$5)*(Отпуска!$D$5:$D$17&gt;=DQ$5))&gt;0,"О","")</f>
        <v/>
      </c>
      <c r="DR7" s="10" t="str">
        <f aca="false">IF(SUMPRODUCT((Отпуска!$A$5:$A$17=$A7)*(Отпуска!$B$5:$B$17&lt;=DR$5)*(Отпуска!$D$5:$D$17&gt;=DR$5))&gt;0,"О","")</f>
        <v/>
      </c>
      <c r="DS7" s="10" t="str">
        <f aca="false">IF(SUMPRODUCT((Отпуска!$A$5:$A$17=$A7)*(Отпуска!$B$5:$B$17&lt;=DS$5)*(Отпуска!$D$5:$D$17&gt;=DS$5))&gt;0,"О","")</f>
        <v/>
      </c>
      <c r="DT7" s="10" t="str">
        <f aca="false">IF(SUMPRODUCT((Отпуска!$A$5:$A$17=$A7)*(Отпуска!$B$5:$B$17&lt;=DT$5)*(Отпуска!$D$5:$D$17&gt;=DT$5))&gt;0,"О","")</f>
        <v/>
      </c>
      <c r="DU7" s="10" t="str">
        <f aca="false">IF(SUMPRODUCT((Отпуска!$A$5:$A$17=$A7)*(Отпуска!$B$5:$B$17&lt;=DU$5)*(Отпуска!$D$5:$D$17&gt;=DU$5))&gt;0,"О","")</f>
        <v/>
      </c>
      <c r="DV7" s="10" t="str">
        <f aca="false">IF(SUMPRODUCT((Отпуска!$A$5:$A$17=$A7)*(Отпуска!$B$5:$B$17&lt;=DV$5)*(Отпуска!$D$5:$D$17&gt;=DV$5))&gt;0,"О","")</f>
        <v/>
      </c>
      <c r="DW7" s="10" t="str">
        <f aca="false">IF(SUMPRODUCT((Отпуска!$A$5:$A$17=$A7)*(Отпуска!$B$5:$B$17&lt;=DW$5)*(Отпуска!$D$5:$D$17&gt;=DW$5))&gt;0,"О","")</f>
        <v>О</v>
      </c>
      <c r="DX7" s="10" t="str">
        <f aca="false">IF(SUMPRODUCT((Отпуска!$A$5:$A$17=$A7)*(Отпуска!$B$5:$B$17&lt;=DX$5)*(Отпуска!$D$5:$D$17&gt;=DX$5))&gt;0,"О","")</f>
        <v>О</v>
      </c>
      <c r="DY7" s="10" t="str">
        <f aca="false">IF(SUMPRODUCT((Отпуска!$A$5:$A$17=$A7)*(Отпуска!$B$5:$B$17&lt;=DY$5)*(Отпуска!$D$5:$D$17&gt;=DY$5))&gt;0,"О","")</f>
        <v>О</v>
      </c>
      <c r="DZ7" s="10" t="str">
        <f aca="false">IF(SUMPRODUCT((Отпуска!$A$5:$A$17=$A7)*(Отпуска!$B$5:$B$17&lt;=DZ$5)*(Отпуска!$D$5:$D$17&gt;=DZ$5))&gt;0,"О","")</f>
        <v>О</v>
      </c>
      <c r="EA7" s="10" t="str">
        <f aca="false">IF(SUMPRODUCT((Отпуска!$A$5:$A$17=$A7)*(Отпуска!$B$5:$B$17&lt;=EA$5)*(Отпуска!$D$5:$D$17&gt;=EA$5))&gt;0,"О","")</f>
        <v>О</v>
      </c>
      <c r="EB7" s="10" t="str">
        <f aca="false">IF(SUMPRODUCT((Отпуска!$A$5:$A$17=$A7)*(Отпуска!$B$5:$B$17&lt;=EB$5)*(Отпуска!$D$5:$D$17&gt;=EB$5))&gt;0,"О","")</f>
        <v>О</v>
      </c>
      <c r="EC7" s="10" t="str">
        <f aca="false">IF(SUMPRODUCT((Отпуска!$A$5:$A$17=$A7)*(Отпуска!$B$5:$B$17&lt;=EC$5)*(Отпуска!$D$5:$D$17&gt;=EC$5))&gt;0,"О","")</f>
        <v>О</v>
      </c>
      <c r="ED7" s="10" t="str">
        <f aca="false">IF(SUMPRODUCT((Отпуска!$A$5:$A$17=$A7)*(Отпуска!$B$5:$B$17&lt;=ED$5)*(Отпуска!$D$5:$D$17&gt;=ED$5))&gt;0,"О","")</f>
        <v>О</v>
      </c>
      <c r="EE7" s="10" t="str">
        <f aca="false">IF(SUMPRODUCT((Отпуска!$A$5:$A$17=$A7)*(Отпуска!$B$5:$B$17&lt;=EE$5)*(Отпуска!$D$5:$D$17&gt;=EE$5))&gt;0,"О","")</f>
        <v>О</v>
      </c>
      <c r="EF7" s="10" t="str">
        <f aca="false">IF(SUMPRODUCT((Отпуска!$A$5:$A$17=$A7)*(Отпуска!$B$5:$B$17&lt;=EF$5)*(Отпуска!$D$5:$D$17&gt;=EF$5))&gt;0,"О","")</f>
        <v>О</v>
      </c>
      <c r="EG7" s="10" t="str">
        <f aca="false">IF(SUMPRODUCT((Отпуска!$A$5:$A$17=$A7)*(Отпуска!$B$5:$B$17&lt;=EG$5)*(Отпуска!$D$5:$D$17&gt;=EG$5))&gt;0,"О","")</f>
        <v>О</v>
      </c>
      <c r="EH7" s="10" t="str">
        <f aca="false">IF(SUMPRODUCT((Отпуска!$A$5:$A$17=$A7)*(Отпуска!$B$5:$B$17&lt;=EH$5)*(Отпуска!$D$5:$D$17&gt;=EH$5))&gt;0,"О","")</f>
        <v>О</v>
      </c>
      <c r="EI7" s="10" t="str">
        <f aca="false">IF(SUMPRODUCT((Отпуска!$A$5:$A$17=$A7)*(Отпуска!$B$5:$B$17&lt;=EI$5)*(Отпуска!$D$5:$D$17&gt;=EI$5))&gt;0,"О","")</f>
        <v>О</v>
      </c>
      <c r="EJ7" s="10" t="str">
        <f aca="false">IF(SUMPRODUCT((Отпуска!$A$5:$A$17=$A7)*(Отпуска!$B$5:$B$17&lt;=EJ$5)*(Отпуска!$D$5:$D$17&gt;=EJ$5))&gt;0,"О","")</f>
        <v>О</v>
      </c>
      <c r="EK7" s="10" t="str">
        <f aca="false">IF(SUMPRODUCT((Отпуска!$A$5:$A$17=$A7)*(Отпуска!$B$5:$B$17&lt;=EK$5)*(Отпуска!$D$5:$D$17&gt;=EK$5))&gt;0,"О","")</f>
        <v>О</v>
      </c>
      <c r="EL7" s="10" t="str">
        <f aca="false">IF(SUMPRODUCT((Отпуска!$A$5:$A$17=$A7)*(Отпуска!$B$5:$B$17&lt;=EL$5)*(Отпуска!$D$5:$D$17&gt;=EL$5))&gt;0,"О","")</f>
        <v>О</v>
      </c>
      <c r="EM7" s="10" t="str">
        <f aca="false">IF(SUMPRODUCT((Отпуска!$A$5:$A$17=$A7)*(Отпуска!$B$5:$B$17&lt;=EM$5)*(Отпуска!$D$5:$D$17&gt;=EM$5))&gt;0,"О","")</f>
        <v>О</v>
      </c>
      <c r="EN7" s="10" t="str">
        <f aca="false">IF(SUMPRODUCT((Отпуска!$A$5:$A$17=$A7)*(Отпуска!$B$5:$B$17&lt;=EN$5)*(Отпуска!$D$5:$D$17&gt;=EN$5))&gt;0,"О","")</f>
        <v/>
      </c>
      <c r="EO7" s="10" t="str">
        <f aca="false">IF(SUMPRODUCT((Отпуска!$A$5:$A$17=$A7)*(Отпуска!$B$5:$B$17&lt;=EO$5)*(Отпуска!$D$5:$D$17&gt;=EO$5))&gt;0,"О","")</f>
        <v/>
      </c>
      <c r="EP7" s="10" t="str">
        <f aca="false">IF(SUMPRODUCT((Отпуска!$A$5:$A$17=$A7)*(Отпуска!$B$5:$B$17&lt;=EP$5)*(Отпуска!$D$5:$D$17&gt;=EP$5))&gt;0,"О","")</f>
        <v/>
      </c>
      <c r="EQ7" s="10" t="str">
        <f aca="false">IF(SUMPRODUCT((Отпуска!$A$5:$A$17=$A7)*(Отпуска!$B$5:$B$17&lt;=EQ$5)*(Отпуска!$D$5:$D$17&gt;=EQ$5))&gt;0,"О","")</f>
        <v/>
      </c>
      <c r="ER7" s="10" t="str">
        <f aca="false">IF(SUMPRODUCT((Отпуска!$A$5:$A$17=$A7)*(Отпуска!$B$5:$B$17&lt;=ER$5)*(Отпуска!$D$5:$D$17&gt;=ER$5))&gt;0,"О","")</f>
        <v/>
      </c>
      <c r="ES7" s="10" t="str">
        <f aca="false">IF(SUMPRODUCT((Отпуска!$A$5:$A$17=$A7)*(Отпуска!$B$5:$B$17&lt;=ES$5)*(Отпуска!$D$5:$D$17&gt;=ES$5))&gt;0,"О","")</f>
        <v/>
      </c>
      <c r="ET7" s="10" t="str">
        <f aca="false">IF(SUMPRODUCT((Отпуска!$A$5:$A$17=$A7)*(Отпуска!$B$5:$B$17&lt;=ET$5)*(Отпуска!$D$5:$D$17&gt;=ET$5))&gt;0,"О","")</f>
        <v/>
      </c>
      <c r="EU7" s="10" t="str">
        <f aca="false">IF(SUMPRODUCT((Отпуска!$A$5:$A$17=$A7)*(Отпуска!$B$5:$B$17&lt;=EU$5)*(Отпуска!$D$5:$D$17&gt;=EU$5))&gt;0,"О","")</f>
        <v/>
      </c>
      <c r="EV7" s="10" t="str">
        <f aca="false">IF(SUMPRODUCT((Отпуска!$A$5:$A$17=$A7)*(Отпуска!$B$5:$B$17&lt;=EV$5)*(Отпуска!$D$5:$D$17&gt;=EV$5))&gt;0,"О","")</f>
        <v/>
      </c>
      <c r="EW7" s="10" t="str">
        <f aca="false">IF(SUMPRODUCT((Отпуска!$A$5:$A$17=$A7)*(Отпуска!$B$5:$B$17&lt;=EW$5)*(Отпуска!$D$5:$D$17&gt;=EW$5))&gt;0,"О","")</f>
        <v/>
      </c>
      <c r="EX7" s="10" t="str">
        <f aca="false">IF(SUMPRODUCT((Отпуска!$A$5:$A$17=$A7)*(Отпуска!$B$5:$B$17&lt;=EX$5)*(Отпуска!$D$5:$D$17&gt;=EX$5))&gt;0,"О","")</f>
        <v/>
      </c>
      <c r="EY7" s="10" t="str">
        <f aca="false">IF(SUMPRODUCT((Отпуска!$A$5:$A$17=$A7)*(Отпуска!$B$5:$B$17&lt;=EY$5)*(Отпуска!$D$5:$D$17&gt;=EY$5))&gt;0,"О","")</f>
        <v/>
      </c>
      <c r="EZ7" s="10" t="str">
        <f aca="false">IF(SUMPRODUCT((Отпуска!$A$5:$A$17=$A7)*(Отпуска!$B$5:$B$17&lt;=EZ$5)*(Отпуска!$D$5:$D$17&gt;=EZ$5))&gt;0,"О","")</f>
        <v/>
      </c>
      <c r="FA7" s="10" t="str">
        <f aca="false">IF(SUMPRODUCT((Отпуска!$A$5:$A$17=$A7)*(Отпуска!$B$5:$B$17&lt;=FA$5)*(Отпуска!$D$5:$D$17&gt;=FA$5))&gt;0,"О","")</f>
        <v/>
      </c>
      <c r="FB7" s="10" t="str">
        <f aca="false">IF(SUMPRODUCT((Отпуска!$A$5:$A$17=$A7)*(Отпуска!$B$5:$B$17&lt;=FB$5)*(Отпуска!$D$5:$D$17&gt;=FB$5))&gt;0,"О","")</f>
        <v/>
      </c>
      <c r="FC7" s="10" t="str">
        <f aca="false">IF(SUMPRODUCT((Отпуска!$A$5:$A$17=$A7)*(Отпуска!$B$5:$B$17&lt;=FC$5)*(Отпуска!$D$5:$D$17&gt;=FC$5))&gt;0,"О","")</f>
        <v/>
      </c>
      <c r="FD7" s="10" t="str">
        <f aca="false">IF(SUMPRODUCT((Отпуска!$A$5:$A$17=$A7)*(Отпуска!$B$5:$B$17&lt;=FD$5)*(Отпуска!$D$5:$D$17&gt;=FD$5))&gt;0,"О","")</f>
        <v/>
      </c>
      <c r="FE7" s="10" t="str">
        <f aca="false">IF(SUMPRODUCT((Отпуска!$A$5:$A$17=$A7)*(Отпуска!$B$5:$B$17&lt;=FE$5)*(Отпуска!$D$5:$D$17&gt;=FE$5))&gt;0,"О","")</f>
        <v/>
      </c>
      <c r="FF7" s="10" t="str">
        <f aca="false">IF(SUMPRODUCT((Отпуска!$A$5:$A$17=$A7)*(Отпуска!$B$5:$B$17&lt;=FF$5)*(Отпуска!$D$5:$D$17&gt;=FF$5))&gt;0,"О","")</f>
        <v/>
      </c>
      <c r="FG7" s="10" t="str">
        <f aca="false">IF(SUMPRODUCT((Отпуска!$A$5:$A$17=$A7)*(Отпуска!$B$5:$B$17&lt;=FG$5)*(Отпуска!$D$5:$D$17&gt;=FG$5))&gt;0,"О","")</f>
        <v/>
      </c>
      <c r="FH7" s="10" t="str">
        <f aca="false">IF(SUMPRODUCT((Отпуска!$A$5:$A$17=$A7)*(Отпуска!$B$5:$B$17&lt;=FH$5)*(Отпуска!$D$5:$D$17&gt;=FH$5))&gt;0,"О","")</f>
        <v/>
      </c>
      <c r="FI7" s="10" t="str">
        <f aca="false">IF(SUMPRODUCT((Отпуска!$A$5:$A$17=$A7)*(Отпуска!$B$5:$B$17&lt;=FI$5)*(Отпуска!$D$5:$D$17&gt;=FI$5))&gt;0,"О","")</f>
        <v/>
      </c>
      <c r="FJ7" s="10" t="str">
        <f aca="false">IF(SUMPRODUCT((Отпуска!$A$5:$A$17=$A7)*(Отпуска!$B$5:$B$17&lt;=FJ$5)*(Отпуска!$D$5:$D$17&gt;=FJ$5))&gt;0,"О","")</f>
        <v/>
      </c>
      <c r="FK7" s="10" t="str">
        <f aca="false">IF(SUMPRODUCT((Отпуска!$A$5:$A$17=$A7)*(Отпуска!$B$5:$B$17&lt;=FK$5)*(Отпуска!$D$5:$D$17&gt;=FK$5))&gt;0,"О","")</f>
        <v/>
      </c>
      <c r="FL7" s="10" t="str">
        <f aca="false">IF(SUMPRODUCT((Отпуска!$A$5:$A$17=$A7)*(Отпуска!$B$5:$B$17&lt;=FL$5)*(Отпуска!$D$5:$D$17&gt;=FL$5))&gt;0,"О","")</f>
        <v/>
      </c>
      <c r="FM7" s="10" t="str">
        <f aca="false">IF(SUMPRODUCT((Отпуска!$A$5:$A$17=$A7)*(Отпуска!$B$5:$B$17&lt;=FM$5)*(Отпуска!$D$5:$D$17&gt;=FM$5))&gt;0,"О","")</f>
        <v/>
      </c>
      <c r="FN7" s="10" t="str">
        <f aca="false">IF(SUMPRODUCT((Отпуска!$A$5:$A$17=$A7)*(Отпуска!$B$5:$B$17&lt;=FN$5)*(Отпуска!$D$5:$D$17&gt;=FN$5))&gt;0,"О","")</f>
        <v/>
      </c>
      <c r="FO7" s="10" t="str">
        <f aca="false">IF(SUMPRODUCT((Отпуска!$A$5:$A$17=$A7)*(Отпуска!$B$5:$B$17&lt;=FO$5)*(Отпуска!$D$5:$D$17&gt;=FO$5))&gt;0,"О","")</f>
        <v/>
      </c>
      <c r="FP7" s="10" t="str">
        <f aca="false">IF(SUMPRODUCT((Отпуска!$A$5:$A$17=$A7)*(Отпуска!$B$5:$B$17&lt;=FP$5)*(Отпуска!$D$5:$D$17&gt;=FP$5))&gt;0,"О","")</f>
        <v/>
      </c>
      <c r="FQ7" s="10" t="str">
        <f aca="false">IF(SUMPRODUCT((Отпуска!$A$5:$A$17=$A7)*(Отпуска!$B$5:$B$17&lt;=FQ$5)*(Отпуска!$D$5:$D$17&gt;=FQ$5))&gt;0,"О","")</f>
        <v/>
      </c>
      <c r="FR7" s="10" t="str">
        <f aca="false">IF(SUMPRODUCT((Отпуска!$A$5:$A$17=$A7)*(Отпуска!$B$5:$B$17&lt;=FR$5)*(Отпуска!$D$5:$D$17&gt;=FR$5))&gt;0,"О","")</f>
        <v/>
      </c>
      <c r="FS7" s="10" t="str">
        <f aca="false">IF(SUMPRODUCT((Отпуска!$A$5:$A$17=$A7)*(Отпуска!$B$5:$B$17&lt;=FS$5)*(Отпуска!$D$5:$D$17&gt;=FS$5))&gt;0,"О","")</f>
        <v/>
      </c>
      <c r="FT7" s="10" t="str">
        <f aca="false">IF(SUMPRODUCT((Отпуска!$A$5:$A$17=$A7)*(Отпуска!$B$5:$B$17&lt;=FT$5)*(Отпуска!$D$5:$D$17&gt;=FT$5))&gt;0,"О","")</f>
        <v/>
      </c>
      <c r="FU7" s="10" t="str">
        <f aca="false">IF(SUMPRODUCT((Отпуска!$A$5:$A$17=$A7)*(Отпуска!$B$5:$B$17&lt;=FU$5)*(Отпуска!$D$5:$D$17&gt;=FU$5))&gt;0,"О","")</f>
        <v/>
      </c>
      <c r="FV7" s="10" t="str">
        <f aca="false">IF(SUMPRODUCT((Отпуска!$A$5:$A$17=$A7)*(Отпуска!$B$5:$B$17&lt;=FV$5)*(Отпуска!$D$5:$D$17&gt;=FV$5))&gt;0,"О","")</f>
        <v/>
      </c>
      <c r="FW7" s="10" t="str">
        <f aca="false">IF(SUMPRODUCT((Отпуска!$A$5:$A$17=$A7)*(Отпуска!$B$5:$B$17&lt;=FW$5)*(Отпуска!$D$5:$D$17&gt;=FW$5))&gt;0,"О","")</f>
        <v/>
      </c>
      <c r="FX7" s="10" t="str">
        <f aca="false">IF(SUMPRODUCT((Отпуска!$A$5:$A$17=$A7)*(Отпуска!$B$5:$B$17&lt;=FX$5)*(Отпуска!$D$5:$D$17&gt;=FX$5))&gt;0,"О","")</f>
        <v/>
      </c>
      <c r="FY7" s="10" t="str">
        <f aca="false">IF(SUMPRODUCT((Отпуска!$A$5:$A$17=$A7)*(Отпуска!$B$5:$B$17&lt;=FY$5)*(Отпуска!$D$5:$D$17&gt;=FY$5))&gt;0,"О","")</f>
        <v/>
      </c>
      <c r="FZ7" s="10" t="str">
        <f aca="false">IF(SUMPRODUCT((Отпуска!$A$5:$A$17=$A7)*(Отпуска!$B$5:$B$17&lt;=FZ$5)*(Отпуска!$D$5:$D$17&gt;=FZ$5))&gt;0,"О","")</f>
        <v/>
      </c>
      <c r="GA7" s="10" t="str">
        <f aca="false">IF(SUMPRODUCT((Отпуска!$A$5:$A$17=$A7)*(Отпуска!$B$5:$B$17&lt;=GA$5)*(Отпуска!$D$5:$D$17&gt;=GA$5))&gt;0,"О","")</f>
        <v/>
      </c>
      <c r="GB7" s="10" t="str">
        <f aca="false">IF(SUMPRODUCT((Отпуска!$A$5:$A$17=$A7)*(Отпуска!$B$5:$B$17&lt;=GB$5)*(Отпуска!$D$5:$D$17&gt;=GB$5))&gt;0,"О","")</f>
        <v/>
      </c>
      <c r="GC7" s="10" t="str">
        <f aca="false">IF(SUMPRODUCT((Отпуска!$A$5:$A$17=$A7)*(Отпуска!$B$5:$B$17&lt;=GC$5)*(Отпуска!$D$5:$D$17&gt;=GC$5))&gt;0,"О","")</f>
        <v/>
      </c>
      <c r="GD7" s="10" t="str">
        <f aca="false">IF(SUMPRODUCT((Отпуска!$A$5:$A$17=$A7)*(Отпуска!$B$5:$B$17&lt;=GD$5)*(Отпуска!$D$5:$D$17&gt;=GD$5))&gt;0,"О","")</f>
        <v/>
      </c>
      <c r="GE7" s="10" t="str">
        <f aca="false">IF(SUMPRODUCT((Отпуска!$A$5:$A$17=$A7)*(Отпуска!$B$5:$B$17&lt;=GE$5)*(Отпуска!$D$5:$D$17&gt;=GE$5))&gt;0,"О","")</f>
        <v/>
      </c>
      <c r="GF7" s="10" t="str">
        <f aca="false">IF(SUMPRODUCT((Отпуска!$A$5:$A$17=$A7)*(Отпуска!$B$5:$B$17&lt;=GF$5)*(Отпуска!$D$5:$D$17&gt;=GF$5))&gt;0,"О","")</f>
        <v/>
      </c>
      <c r="GG7" s="10" t="str">
        <f aca="false">IF(SUMPRODUCT((Отпуска!$A$5:$A$17=$A7)*(Отпуска!$B$5:$B$17&lt;=GG$5)*(Отпуска!$D$5:$D$17&gt;=GG$5))&gt;0,"О","")</f>
        <v/>
      </c>
      <c r="GH7" s="10" t="str">
        <f aca="false">IF(SUMPRODUCT((Отпуска!$A$5:$A$17=$A7)*(Отпуска!$B$5:$B$17&lt;=GH$5)*(Отпуска!$D$5:$D$17&gt;=GH$5))&gt;0,"О","")</f>
        <v/>
      </c>
      <c r="GI7" s="10" t="str">
        <f aca="false">IF(SUMPRODUCT((Отпуска!$A$5:$A$17=$A7)*(Отпуска!$B$5:$B$17&lt;=GI$5)*(Отпуска!$D$5:$D$17&gt;=GI$5))&gt;0,"О","")</f>
        <v/>
      </c>
      <c r="GJ7" s="10" t="str">
        <f aca="false">IF(SUMPRODUCT((Отпуска!$A$5:$A$17=$A7)*(Отпуска!$B$5:$B$17&lt;=GJ$5)*(Отпуска!$D$5:$D$17&gt;=GJ$5))&gt;0,"О","")</f>
        <v/>
      </c>
      <c r="GK7" s="10" t="str">
        <f aca="false">IF(SUMPRODUCT((Отпуска!$A$5:$A$17=$A7)*(Отпуска!$B$5:$B$17&lt;=GK$5)*(Отпуска!$D$5:$D$17&gt;=GK$5))&gt;0,"О","")</f>
        <v/>
      </c>
      <c r="GL7" s="10" t="str">
        <f aca="false">IF(SUMPRODUCT((Отпуска!$A$5:$A$17=$A7)*(Отпуска!$B$5:$B$17&lt;=GL$5)*(Отпуска!$D$5:$D$17&gt;=GL$5))&gt;0,"О","")</f>
        <v/>
      </c>
      <c r="GM7" s="10" t="str">
        <f aca="false">IF(SUMPRODUCT((Отпуска!$A$5:$A$17=$A7)*(Отпуска!$B$5:$B$17&lt;=GM$5)*(Отпуска!$D$5:$D$17&gt;=GM$5))&gt;0,"О","")</f>
        <v/>
      </c>
      <c r="GN7" s="10" t="str">
        <f aca="false">IF(SUMPRODUCT((Отпуска!$A$5:$A$17=$A7)*(Отпуска!$B$5:$B$17&lt;=GN$5)*(Отпуска!$D$5:$D$17&gt;=GN$5))&gt;0,"О","")</f>
        <v/>
      </c>
      <c r="GO7" s="10" t="str">
        <f aca="false">IF(SUMPRODUCT((Отпуска!$A$5:$A$17=$A7)*(Отпуска!$B$5:$B$17&lt;=GO$5)*(Отпуска!$D$5:$D$17&gt;=GO$5))&gt;0,"О","")</f>
        <v/>
      </c>
      <c r="GP7" s="10" t="str">
        <f aca="false">IF(SUMPRODUCT((Отпуска!$A$5:$A$17=$A7)*(Отпуска!$B$5:$B$17&lt;=GP$5)*(Отпуска!$D$5:$D$17&gt;=GP$5))&gt;0,"О","")</f>
        <v/>
      </c>
      <c r="GQ7" s="10" t="str">
        <f aca="false">IF(SUMPRODUCT((Отпуска!$A$5:$A$17=$A7)*(Отпуска!$B$5:$B$17&lt;=GQ$5)*(Отпуска!$D$5:$D$17&gt;=GQ$5))&gt;0,"О","")</f>
        <v/>
      </c>
      <c r="GR7" s="10" t="str">
        <f aca="false">IF(SUMPRODUCT((Отпуска!$A$5:$A$17=$A7)*(Отпуска!$B$5:$B$17&lt;=GR$5)*(Отпуска!$D$5:$D$17&gt;=GR$5))&gt;0,"О","")</f>
        <v/>
      </c>
      <c r="GS7" s="10" t="str">
        <f aca="false">IF(SUMPRODUCT((Отпуска!$A$5:$A$17=$A7)*(Отпуска!$B$5:$B$17&lt;=GS$5)*(Отпуска!$D$5:$D$17&gt;=GS$5))&gt;0,"О","")</f>
        <v/>
      </c>
      <c r="GT7" s="10" t="str">
        <f aca="false">IF(SUMPRODUCT((Отпуска!$A$5:$A$17=$A7)*(Отпуска!$B$5:$B$17&lt;=GT$5)*(Отпуска!$D$5:$D$17&gt;=GT$5))&gt;0,"О","")</f>
        <v/>
      </c>
      <c r="GU7" s="10" t="str">
        <f aca="false">IF(SUMPRODUCT((Отпуска!$A$5:$A$17=$A7)*(Отпуска!$B$5:$B$17&lt;=GU$5)*(Отпуска!$D$5:$D$17&gt;=GU$5))&gt;0,"О","")</f>
        <v/>
      </c>
      <c r="GV7" s="10" t="str">
        <f aca="false">IF(SUMPRODUCT((Отпуска!$A$5:$A$17=$A7)*(Отпуска!$B$5:$B$17&lt;=GV$5)*(Отпуска!$D$5:$D$17&gt;=GV$5))&gt;0,"О","")</f>
        <v/>
      </c>
      <c r="GW7" s="10" t="str">
        <f aca="false">IF(SUMPRODUCT((Отпуска!$A$5:$A$17=$A7)*(Отпуска!$B$5:$B$17&lt;=GW$5)*(Отпуска!$D$5:$D$17&gt;=GW$5))&gt;0,"О","")</f>
        <v/>
      </c>
      <c r="GX7" s="10" t="str">
        <f aca="false">IF(SUMPRODUCT((Отпуска!$A$5:$A$17=$A7)*(Отпуска!$B$5:$B$17&lt;=GX$5)*(Отпуска!$D$5:$D$17&gt;=GX$5))&gt;0,"О","")</f>
        <v/>
      </c>
      <c r="GY7" s="10" t="str">
        <f aca="false">IF(SUMPRODUCT((Отпуска!$A$5:$A$17=$A7)*(Отпуска!$B$5:$B$17&lt;=GY$5)*(Отпуска!$D$5:$D$17&gt;=GY$5))&gt;0,"О","")</f>
        <v/>
      </c>
      <c r="GZ7" s="10" t="str">
        <f aca="false">IF(SUMPRODUCT((Отпуска!$A$5:$A$17=$A7)*(Отпуска!$B$5:$B$17&lt;=GZ$5)*(Отпуска!$D$5:$D$17&gt;=GZ$5))&gt;0,"О","")</f>
        <v/>
      </c>
      <c r="HA7" s="10" t="str">
        <f aca="false">IF(SUMPRODUCT((Отпуска!$A$5:$A$17=$A7)*(Отпуска!$B$5:$B$17&lt;=HA$5)*(Отпуска!$D$5:$D$17&gt;=HA$5))&gt;0,"О","")</f>
        <v/>
      </c>
      <c r="HB7" s="10" t="str">
        <f aca="false">IF(SUMPRODUCT((Отпуска!$A$5:$A$17=$A7)*(Отпуска!$B$5:$B$17&lt;=HB$5)*(Отпуска!$D$5:$D$17&gt;=HB$5))&gt;0,"О","")</f>
        <v/>
      </c>
      <c r="HC7" s="10" t="str">
        <f aca="false">IF(SUMPRODUCT((Отпуска!$A$5:$A$17=$A7)*(Отпуска!$B$5:$B$17&lt;=HC$5)*(Отпуска!$D$5:$D$17&gt;=HC$5))&gt;0,"О","")</f>
        <v/>
      </c>
      <c r="HD7" s="10" t="str">
        <f aca="false">IF(SUMPRODUCT((Отпуска!$A$5:$A$17=$A7)*(Отпуска!$B$5:$B$17&lt;=HD$5)*(Отпуска!$D$5:$D$17&gt;=HD$5))&gt;0,"О","")</f>
        <v/>
      </c>
      <c r="HE7" s="10" t="str">
        <f aca="false">IF(SUMPRODUCT((Отпуска!$A$5:$A$17=$A7)*(Отпуска!$B$5:$B$17&lt;=HE$5)*(Отпуска!$D$5:$D$17&gt;=HE$5))&gt;0,"О","")</f>
        <v/>
      </c>
      <c r="HF7" s="10" t="str">
        <f aca="false">IF(SUMPRODUCT((Отпуска!$A$5:$A$17=$A7)*(Отпуска!$B$5:$B$17&lt;=HF$5)*(Отпуска!$D$5:$D$17&gt;=HF$5))&gt;0,"О","")</f>
        <v/>
      </c>
      <c r="HG7" s="10" t="str">
        <f aca="false">IF(SUMPRODUCT((Отпуска!$A$5:$A$17=$A7)*(Отпуска!$B$5:$B$17&lt;=HG$5)*(Отпуска!$D$5:$D$17&gt;=HG$5))&gt;0,"О","")</f>
        <v/>
      </c>
      <c r="HH7" s="10" t="str">
        <f aca="false">IF(SUMPRODUCT((Отпуска!$A$5:$A$17=$A7)*(Отпуска!$B$5:$B$17&lt;=HH$5)*(Отпуска!$D$5:$D$17&gt;=HH$5))&gt;0,"О","")</f>
        <v/>
      </c>
      <c r="HI7" s="10" t="str">
        <f aca="false">IF(SUMPRODUCT((Отпуска!$A$5:$A$17=$A7)*(Отпуска!$B$5:$B$17&lt;=HI$5)*(Отпуска!$D$5:$D$17&gt;=HI$5))&gt;0,"О","")</f>
        <v>О</v>
      </c>
      <c r="HJ7" s="10" t="str">
        <f aca="false">IF(SUMPRODUCT((Отпуска!$A$5:$A$17=$A7)*(Отпуска!$B$5:$B$17&lt;=HJ$5)*(Отпуска!$D$5:$D$17&gt;=HJ$5))&gt;0,"О","")</f>
        <v>О</v>
      </c>
      <c r="HK7" s="10" t="str">
        <f aca="false">IF(SUMPRODUCT((Отпуска!$A$5:$A$17=$A7)*(Отпуска!$B$5:$B$17&lt;=HK$5)*(Отпуска!$D$5:$D$17&gt;=HK$5))&gt;0,"О","")</f>
        <v>О</v>
      </c>
      <c r="HL7" s="10" t="str">
        <f aca="false">IF(SUMPRODUCT((Отпуска!$A$5:$A$17=$A7)*(Отпуска!$B$5:$B$17&lt;=HL$5)*(Отпуска!$D$5:$D$17&gt;=HL$5))&gt;0,"О","")</f>
        <v>О</v>
      </c>
      <c r="HM7" s="10" t="str">
        <f aca="false">IF(SUMPRODUCT((Отпуска!$A$5:$A$17=$A7)*(Отпуска!$B$5:$B$17&lt;=HM$5)*(Отпуска!$D$5:$D$17&gt;=HM$5))&gt;0,"О","")</f>
        <v>О</v>
      </c>
      <c r="HN7" s="10" t="str">
        <f aca="false">IF(SUMPRODUCT((Отпуска!$A$5:$A$17=$A7)*(Отпуска!$B$5:$B$17&lt;=HN$5)*(Отпуска!$D$5:$D$17&gt;=HN$5))&gt;0,"О","")</f>
        <v>О</v>
      </c>
      <c r="HO7" s="10" t="str">
        <f aca="false">IF(SUMPRODUCT((Отпуска!$A$5:$A$17=$A7)*(Отпуска!$B$5:$B$17&lt;=HO$5)*(Отпуска!$D$5:$D$17&gt;=HO$5))&gt;0,"О","")</f>
        <v>О</v>
      </c>
      <c r="HP7" s="10" t="str">
        <f aca="false">IF(SUMPRODUCT((Отпуска!$A$5:$A$17=$A7)*(Отпуска!$B$5:$B$17&lt;=HP$5)*(Отпуска!$D$5:$D$17&gt;=HP$5))&gt;0,"О","")</f>
        <v>О</v>
      </c>
      <c r="HQ7" s="10" t="str">
        <f aca="false">IF(SUMPRODUCT((Отпуска!$A$5:$A$17=$A7)*(Отпуска!$B$5:$B$17&lt;=HQ$5)*(Отпуска!$D$5:$D$17&gt;=HQ$5))&gt;0,"О","")</f>
        <v>О</v>
      </c>
      <c r="HR7" s="10" t="str">
        <f aca="false">IF(SUMPRODUCT((Отпуска!$A$5:$A$17=$A7)*(Отпуска!$B$5:$B$17&lt;=HR$5)*(Отпуска!$D$5:$D$17&gt;=HR$5))&gt;0,"О","")</f>
        <v>О</v>
      </c>
      <c r="HS7" s="10" t="str">
        <f aca="false">IF(SUMPRODUCT((Отпуска!$A$5:$A$17=$A7)*(Отпуска!$B$5:$B$17&lt;=HS$5)*(Отпуска!$D$5:$D$17&gt;=HS$5))&gt;0,"О","")</f>
        <v>О</v>
      </c>
      <c r="HT7" s="10" t="str">
        <f aca="false">IF(SUMPRODUCT((Отпуска!$A$5:$A$17=$A7)*(Отпуска!$B$5:$B$17&lt;=HT$5)*(Отпуска!$D$5:$D$17&gt;=HT$5))&gt;0,"О","")</f>
        <v>О</v>
      </c>
      <c r="HU7" s="10" t="str">
        <f aca="false">IF(SUMPRODUCT((Отпуска!$A$5:$A$17=$A7)*(Отпуска!$B$5:$B$17&lt;=HU$5)*(Отпуска!$D$5:$D$17&gt;=HU$5))&gt;0,"О","")</f>
        <v>О</v>
      </c>
      <c r="HV7" s="10" t="str">
        <f aca="false">IF(SUMPRODUCT((Отпуска!$A$5:$A$17=$A7)*(Отпуска!$B$5:$B$17&lt;=HV$5)*(Отпуска!$D$5:$D$17&gt;=HV$5))&gt;0,"О","")</f>
        <v>О</v>
      </c>
      <c r="HW7" s="10" t="str">
        <f aca="false">IF(SUMPRODUCT((Отпуска!$A$5:$A$17=$A7)*(Отпуска!$B$5:$B$17&lt;=HW$5)*(Отпуска!$D$5:$D$17&gt;=HW$5))&gt;0,"О","")</f>
        <v>О</v>
      </c>
      <c r="HX7" s="10" t="str">
        <f aca="false">IF(SUMPRODUCT((Отпуска!$A$5:$A$17=$A7)*(Отпуска!$B$5:$B$17&lt;=HX$5)*(Отпуска!$D$5:$D$17&gt;=HX$5))&gt;0,"О","")</f>
        <v>О</v>
      </c>
      <c r="HY7" s="10" t="str">
        <f aca="false">IF(SUMPRODUCT((Отпуска!$A$5:$A$17=$A7)*(Отпуска!$B$5:$B$17&lt;=HY$5)*(Отпуска!$D$5:$D$17&gt;=HY$5))&gt;0,"О","")</f>
        <v>О</v>
      </c>
      <c r="HZ7" s="10" t="str">
        <f aca="false">IF(SUMPRODUCT((Отпуска!$A$5:$A$17=$A7)*(Отпуска!$B$5:$B$17&lt;=HZ$5)*(Отпуска!$D$5:$D$17&gt;=HZ$5))&gt;0,"О","")</f>
        <v>О</v>
      </c>
      <c r="IA7" s="10" t="str">
        <f aca="false">IF(SUMPRODUCT((Отпуска!$A$5:$A$17=$A7)*(Отпуска!$B$5:$B$17&lt;=IA$5)*(Отпуска!$D$5:$D$17&gt;=IA$5))&gt;0,"О","")</f>
        <v>О</v>
      </c>
      <c r="IB7" s="10" t="str">
        <f aca="false">IF(SUMPRODUCT((Отпуска!$A$5:$A$17=$A7)*(Отпуска!$B$5:$B$17&lt;=IB$5)*(Отпуска!$D$5:$D$17&gt;=IB$5))&gt;0,"О","")</f>
        <v/>
      </c>
      <c r="IC7" s="10" t="str">
        <f aca="false">IF(SUMPRODUCT((Отпуска!$A$5:$A$17=$A7)*(Отпуска!$B$5:$B$17&lt;=IC$5)*(Отпуска!$D$5:$D$17&gt;=IC$5))&gt;0,"О","")</f>
        <v/>
      </c>
      <c r="ID7" s="10" t="str">
        <f aca="false">IF(SUMPRODUCT((Отпуска!$A$5:$A$17=$A7)*(Отпуска!$B$5:$B$17&lt;=ID$5)*(Отпуска!$D$5:$D$17&gt;=ID$5))&gt;0,"О","")</f>
        <v/>
      </c>
      <c r="IE7" s="10" t="str">
        <f aca="false">IF(SUMPRODUCT((Отпуска!$A$5:$A$17=$A7)*(Отпуска!$B$5:$B$17&lt;=IE$5)*(Отпуска!$D$5:$D$17&gt;=IE$5))&gt;0,"О","")</f>
        <v/>
      </c>
      <c r="IF7" s="10" t="str">
        <f aca="false">IF(SUMPRODUCT((Отпуска!$A$5:$A$17=$A7)*(Отпуска!$B$5:$B$17&lt;=IF$5)*(Отпуска!$D$5:$D$17&gt;=IF$5))&gt;0,"О","")</f>
        <v/>
      </c>
      <c r="IG7" s="10" t="str">
        <f aca="false">IF(SUMPRODUCT((Отпуска!$A$5:$A$17=$A7)*(Отпуска!$B$5:$B$17&lt;=IG$5)*(Отпуска!$D$5:$D$17&gt;=IG$5))&gt;0,"О","")</f>
        <v/>
      </c>
      <c r="IH7" s="10" t="str">
        <f aca="false">IF(SUMPRODUCT((Отпуска!$A$5:$A$17=$A7)*(Отпуска!$B$5:$B$17&lt;=IH$5)*(Отпуска!$D$5:$D$17&gt;=IH$5))&gt;0,"О","")</f>
        <v/>
      </c>
      <c r="II7" s="10" t="str">
        <f aca="false">IF(SUMPRODUCT((Отпуска!$A$5:$A$17=$A7)*(Отпуска!$B$5:$B$17&lt;=II$5)*(Отпуска!$D$5:$D$17&gt;=II$5))&gt;0,"О","")</f>
        <v/>
      </c>
      <c r="IJ7" s="10" t="str">
        <f aca="false">IF(SUMPRODUCT((Отпуска!$A$5:$A$17=$A7)*(Отпуска!$B$5:$B$17&lt;=IJ$5)*(Отпуска!$D$5:$D$17&gt;=IJ$5))&gt;0,"О","")</f>
        <v/>
      </c>
      <c r="IK7" s="10" t="str">
        <f aca="false">IF(SUMPRODUCT((Отпуска!$A$5:$A$17=$A7)*(Отпуска!$B$5:$B$17&lt;=IK$5)*(Отпуска!$D$5:$D$17&gt;=IK$5))&gt;0,"О","")</f>
        <v/>
      </c>
      <c r="IL7" s="10" t="str">
        <f aca="false">IF(SUMPRODUCT((Отпуска!$A$5:$A$17=$A7)*(Отпуска!$B$5:$B$17&lt;=IL$5)*(Отпуска!$D$5:$D$17&gt;=IL$5))&gt;0,"О","")</f>
        <v/>
      </c>
      <c r="IM7" s="10" t="str">
        <f aca="false">IF(SUMPRODUCT((Отпуска!$A$5:$A$17=$A7)*(Отпуска!$B$5:$B$17&lt;=IM$5)*(Отпуска!$D$5:$D$17&gt;=IM$5))&gt;0,"О","")</f>
        <v/>
      </c>
      <c r="IN7" s="10" t="str">
        <f aca="false">IF(SUMPRODUCT((Отпуска!$A$5:$A$17=$A7)*(Отпуска!$B$5:$B$17&lt;=IN$5)*(Отпуска!$D$5:$D$17&gt;=IN$5))&gt;0,"О","")</f>
        <v/>
      </c>
      <c r="IO7" s="10" t="str">
        <f aca="false">IF(SUMPRODUCT((Отпуска!$A$5:$A$17=$A7)*(Отпуска!$B$5:$B$17&lt;=IO$5)*(Отпуска!$D$5:$D$17&gt;=IO$5))&gt;0,"О","")</f>
        <v/>
      </c>
      <c r="IP7" s="10" t="str">
        <f aca="false">IF(SUMPRODUCT((Отпуска!$A$5:$A$17=$A7)*(Отпуска!$B$5:$B$17&lt;=IP$5)*(Отпуска!$D$5:$D$17&gt;=IP$5))&gt;0,"О","")</f>
        <v/>
      </c>
      <c r="IQ7" s="10" t="str">
        <f aca="false">IF(SUMPRODUCT((Отпуска!$A$5:$A$17=$A7)*(Отпуска!$B$5:$B$17&lt;=IQ$5)*(Отпуска!$D$5:$D$17&gt;=IQ$5))&gt;0,"О","")</f>
        <v/>
      </c>
      <c r="IR7" s="10" t="str">
        <f aca="false">IF(SUMPRODUCT((Отпуска!$A$5:$A$17=$A7)*(Отпуска!$B$5:$B$17&lt;=IR$5)*(Отпуска!$D$5:$D$17&gt;=IR$5))&gt;0,"О","")</f>
        <v/>
      </c>
      <c r="IS7" s="10" t="str">
        <f aca="false">IF(SUMPRODUCT((Отпуска!$A$5:$A$17=$A7)*(Отпуска!$B$5:$B$17&lt;=IS$5)*(Отпуска!$D$5:$D$17&gt;=IS$5))&gt;0,"О","")</f>
        <v/>
      </c>
      <c r="IT7" s="10" t="str">
        <f aca="false">IF(SUMPRODUCT((Отпуска!$A$5:$A$17=$A7)*(Отпуска!$B$5:$B$17&lt;=IT$5)*(Отпуска!$D$5:$D$17&gt;=IT$5))&gt;0,"О","")</f>
        <v/>
      </c>
      <c r="IU7" s="10" t="str">
        <f aca="false">IF(SUMPRODUCT((Отпуска!$A$5:$A$17=$A7)*(Отпуска!$B$5:$B$17&lt;=IU$5)*(Отпуска!$D$5:$D$17&gt;=IU$5))&gt;0,"О","")</f>
        <v/>
      </c>
      <c r="IV7" s="10" t="str">
        <f aca="false">IF(SUMPRODUCT((Отпуска!$A$5:$A$17=$A7)*(Отпуска!$B$5:$B$17&lt;=IV$5)*(Отпуска!$D$5:$D$17&gt;=IV$5))&gt;0,"О","")</f>
        <v/>
      </c>
      <c r="IW7" s="10" t="str">
        <f aca="false">IF(SUMPRODUCT((Отпуска!$A$5:$A$17=$A7)*(Отпуска!$B$5:$B$17&lt;=IW$5)*(Отпуска!$D$5:$D$17&gt;=IW$5))&gt;0,"О","")</f>
        <v/>
      </c>
      <c r="IX7" s="10" t="str">
        <f aca="false">IF(SUMPRODUCT((Отпуска!$A$5:$A$17=$A7)*(Отпуска!$B$5:$B$17&lt;=IX$5)*(Отпуска!$D$5:$D$17&gt;=IX$5))&gt;0,"О","")</f>
        <v/>
      </c>
      <c r="IY7" s="10" t="str">
        <f aca="false">IF(SUMPRODUCT((Отпуска!$A$5:$A$17=$A7)*(Отпуска!$B$5:$B$17&lt;=IY$5)*(Отпуска!$D$5:$D$17&gt;=IY$5))&gt;0,"О","")</f>
        <v/>
      </c>
      <c r="IZ7" s="10" t="str">
        <f aca="false">IF(SUMPRODUCT((Отпуска!$A$5:$A$17=$A7)*(Отпуска!$B$5:$B$17&lt;=IZ$5)*(Отпуска!$D$5:$D$17&gt;=IZ$5))&gt;0,"О","")</f>
        <v/>
      </c>
      <c r="JA7" s="10" t="str">
        <f aca="false">IF(SUMPRODUCT((Отпуска!$A$5:$A$17=$A7)*(Отпуска!$B$5:$B$17&lt;=JA$5)*(Отпуска!$D$5:$D$17&gt;=JA$5))&gt;0,"О","")</f>
        <v/>
      </c>
      <c r="JB7" s="10" t="str">
        <f aca="false">IF(SUMPRODUCT((Отпуска!$A$5:$A$17=$A7)*(Отпуска!$B$5:$B$17&lt;=JB$5)*(Отпуска!$D$5:$D$17&gt;=JB$5))&gt;0,"О","")</f>
        <v/>
      </c>
      <c r="JC7" s="10" t="str">
        <f aca="false">IF(SUMPRODUCT((Отпуска!$A$5:$A$17=$A7)*(Отпуска!$B$5:$B$17&lt;=JC$5)*(Отпуска!$D$5:$D$17&gt;=JC$5))&gt;0,"О","")</f>
        <v/>
      </c>
      <c r="JD7" s="10" t="str">
        <f aca="false">IF(SUMPRODUCT((Отпуска!$A$5:$A$17=$A7)*(Отпуска!$B$5:$B$17&lt;=JD$5)*(Отпуска!$D$5:$D$17&gt;=JD$5))&gt;0,"О","")</f>
        <v/>
      </c>
      <c r="JE7" s="10" t="str">
        <f aca="false">IF(SUMPRODUCT((Отпуска!$A$5:$A$17=$A7)*(Отпуска!$B$5:$B$17&lt;=JE$5)*(Отпуска!$D$5:$D$17&gt;=JE$5))&gt;0,"О","")</f>
        <v/>
      </c>
      <c r="JF7" s="10" t="str">
        <f aca="false">IF(SUMPRODUCT((Отпуска!$A$5:$A$17=$A7)*(Отпуска!$B$5:$B$17&lt;=JF$5)*(Отпуска!$D$5:$D$17&gt;=JF$5))&gt;0,"О","")</f>
        <v/>
      </c>
      <c r="JG7" s="10" t="str">
        <f aca="false">IF(SUMPRODUCT((Отпуска!$A$5:$A$17=$A7)*(Отпуска!$B$5:$B$17&lt;=JG$5)*(Отпуска!$D$5:$D$17&gt;=JG$5))&gt;0,"О","")</f>
        <v/>
      </c>
      <c r="JH7" s="10" t="str">
        <f aca="false">IF(SUMPRODUCT((Отпуска!$A$5:$A$17=$A7)*(Отпуска!$B$5:$B$17&lt;=JH$5)*(Отпуска!$D$5:$D$17&gt;=JH$5))&gt;0,"О","")</f>
        <v/>
      </c>
      <c r="JI7" s="10" t="str">
        <f aca="false">IF(SUMPRODUCT((Отпуска!$A$5:$A$17=$A7)*(Отпуска!$B$5:$B$17&lt;=JI$5)*(Отпуска!$D$5:$D$17&gt;=JI$5))&gt;0,"О","")</f>
        <v/>
      </c>
      <c r="JJ7" s="10" t="str">
        <f aca="false">IF(SUMPRODUCT((Отпуска!$A$5:$A$17=$A7)*(Отпуска!$B$5:$B$17&lt;=JJ$5)*(Отпуска!$D$5:$D$17&gt;=JJ$5))&gt;0,"О","")</f>
        <v/>
      </c>
      <c r="JK7" s="10" t="str">
        <f aca="false">IF(SUMPRODUCT((Отпуска!$A$5:$A$17=$A7)*(Отпуска!$B$5:$B$17&lt;=JK$5)*(Отпуска!$D$5:$D$17&gt;=JK$5))&gt;0,"О","")</f>
        <v/>
      </c>
      <c r="JL7" s="10" t="str">
        <f aca="false">IF(SUMPRODUCT((Отпуска!$A$5:$A$17=$A7)*(Отпуска!$B$5:$B$17&lt;=JL$5)*(Отпуска!$D$5:$D$17&gt;=JL$5))&gt;0,"О","")</f>
        <v/>
      </c>
      <c r="JM7" s="10" t="str">
        <f aca="false">IF(SUMPRODUCT((Отпуска!$A$5:$A$17=$A7)*(Отпуска!$B$5:$B$17&lt;=JM$5)*(Отпуска!$D$5:$D$17&gt;=JM$5))&gt;0,"О","")</f>
        <v/>
      </c>
      <c r="JN7" s="10" t="str">
        <f aca="false">IF(SUMPRODUCT((Отпуска!$A$5:$A$17=$A7)*(Отпуска!$B$5:$B$17&lt;=JN$5)*(Отпуска!$D$5:$D$17&gt;=JN$5))&gt;0,"О","")</f>
        <v/>
      </c>
      <c r="JO7" s="10" t="str">
        <f aca="false">IF(SUMPRODUCT((Отпуска!$A$5:$A$17=$A7)*(Отпуска!$B$5:$B$17&lt;=JO$5)*(Отпуска!$D$5:$D$17&gt;=JO$5))&gt;0,"О","")</f>
        <v/>
      </c>
      <c r="JP7" s="10" t="str">
        <f aca="false">IF(SUMPRODUCT((Отпуска!$A$5:$A$17=$A7)*(Отпуска!$B$5:$B$17&lt;=JP$5)*(Отпуска!$D$5:$D$17&gt;=JP$5))&gt;0,"О","")</f>
        <v/>
      </c>
      <c r="JQ7" s="10" t="str">
        <f aca="false">IF(SUMPRODUCT((Отпуска!$A$5:$A$17=$A7)*(Отпуска!$B$5:$B$17&lt;=JQ$5)*(Отпуска!$D$5:$D$17&gt;=JQ$5))&gt;0,"О","")</f>
        <v/>
      </c>
      <c r="JR7" s="10" t="str">
        <f aca="false">IF(SUMPRODUCT((Отпуска!$A$5:$A$17=$A7)*(Отпуска!$B$5:$B$17&lt;=JR$5)*(Отпуска!$D$5:$D$17&gt;=JR$5))&gt;0,"О","")</f>
        <v/>
      </c>
      <c r="JS7" s="10" t="str">
        <f aca="false">IF(SUMPRODUCT((Отпуска!$A$5:$A$17=$A7)*(Отпуска!$B$5:$B$17&lt;=JS$5)*(Отпуска!$D$5:$D$17&gt;=JS$5))&gt;0,"О","")</f>
        <v/>
      </c>
      <c r="JT7" s="10" t="str">
        <f aca="false">IF(SUMPRODUCT((Отпуска!$A$5:$A$17=$A7)*(Отпуска!$B$5:$B$17&lt;=JT$5)*(Отпуска!$D$5:$D$17&gt;=JT$5))&gt;0,"О","")</f>
        <v/>
      </c>
      <c r="JU7" s="10" t="str">
        <f aca="false">IF(SUMPRODUCT((Отпуска!$A$5:$A$17=$A7)*(Отпуска!$B$5:$B$17&lt;=JU$5)*(Отпуска!$D$5:$D$17&gt;=JU$5))&gt;0,"О","")</f>
        <v/>
      </c>
      <c r="JV7" s="10" t="str">
        <f aca="false">IF(SUMPRODUCT((Отпуска!$A$5:$A$17=$A7)*(Отпуска!$B$5:$B$17&lt;=JV$5)*(Отпуска!$D$5:$D$17&gt;=JV$5))&gt;0,"О","")</f>
        <v/>
      </c>
      <c r="JW7" s="10" t="str">
        <f aca="false">IF(SUMPRODUCT((Отпуска!$A$5:$A$17=$A7)*(Отпуска!$B$5:$B$17&lt;=JW$5)*(Отпуска!$D$5:$D$17&gt;=JW$5))&gt;0,"О","")</f>
        <v/>
      </c>
      <c r="JX7" s="10" t="str">
        <f aca="false">IF(SUMPRODUCT((Отпуска!$A$5:$A$17=$A7)*(Отпуска!$B$5:$B$17&lt;=JX$5)*(Отпуска!$D$5:$D$17&gt;=JX$5))&gt;0,"О","")</f>
        <v/>
      </c>
      <c r="JY7" s="10" t="str">
        <f aca="false">IF(SUMPRODUCT((Отпуска!$A$5:$A$17=$A7)*(Отпуска!$B$5:$B$17&lt;=JY$5)*(Отпуска!$D$5:$D$17&gt;=JY$5))&gt;0,"О","")</f>
        <v/>
      </c>
      <c r="JZ7" s="10" t="str">
        <f aca="false">IF(SUMPRODUCT((Отпуска!$A$5:$A$17=$A7)*(Отпуска!$B$5:$B$17&lt;=JZ$5)*(Отпуска!$D$5:$D$17&gt;=JZ$5))&gt;0,"О","")</f>
        <v/>
      </c>
      <c r="KA7" s="10" t="str">
        <f aca="false">IF(SUMPRODUCT((Отпуска!$A$5:$A$17=$A7)*(Отпуска!$B$5:$B$17&lt;=KA$5)*(Отпуска!$D$5:$D$17&gt;=KA$5))&gt;0,"О","")</f>
        <v/>
      </c>
      <c r="KB7" s="10" t="str">
        <f aca="false">IF(SUMPRODUCT((Отпуска!$A$5:$A$17=$A7)*(Отпуска!$B$5:$B$17&lt;=KB$5)*(Отпуска!$D$5:$D$17&gt;=KB$5))&gt;0,"О","")</f>
        <v/>
      </c>
      <c r="KC7" s="10" t="str">
        <f aca="false">IF(SUMPRODUCT((Отпуска!$A$5:$A$17=$A7)*(Отпуска!$B$5:$B$17&lt;=KC$5)*(Отпуска!$D$5:$D$17&gt;=KC$5))&gt;0,"О","")</f>
        <v/>
      </c>
      <c r="KD7" s="10" t="str">
        <f aca="false">IF(SUMPRODUCT((Отпуска!$A$5:$A$17=$A7)*(Отпуска!$B$5:$B$17&lt;=KD$5)*(Отпуска!$D$5:$D$17&gt;=KD$5))&gt;0,"О","")</f>
        <v/>
      </c>
      <c r="KE7" s="10" t="str">
        <f aca="false">IF(SUMPRODUCT((Отпуска!$A$5:$A$17=$A7)*(Отпуска!$B$5:$B$17&lt;=KE$5)*(Отпуска!$D$5:$D$17&gt;=KE$5))&gt;0,"О","")</f>
        <v/>
      </c>
      <c r="KF7" s="10" t="str">
        <f aca="false">IF(SUMPRODUCT((Отпуска!$A$5:$A$17=$A7)*(Отпуска!$B$5:$B$17&lt;=KF$5)*(Отпуска!$D$5:$D$17&gt;=KF$5))&gt;0,"О","")</f>
        <v/>
      </c>
      <c r="KG7" s="10" t="str">
        <f aca="false">IF(SUMPRODUCT((Отпуска!$A$5:$A$17=$A7)*(Отпуска!$B$5:$B$17&lt;=KG$5)*(Отпуска!$D$5:$D$17&gt;=KG$5))&gt;0,"О","")</f>
        <v/>
      </c>
      <c r="KH7" s="10" t="str">
        <f aca="false">IF(SUMPRODUCT((Отпуска!$A$5:$A$17=$A7)*(Отпуска!$B$5:$B$17&lt;=KH$5)*(Отпуска!$D$5:$D$17&gt;=KH$5))&gt;0,"О","")</f>
        <v/>
      </c>
      <c r="KI7" s="10" t="str">
        <f aca="false">IF(SUMPRODUCT((Отпуска!$A$5:$A$17=$A7)*(Отпуска!$B$5:$B$17&lt;=KI$5)*(Отпуска!$D$5:$D$17&gt;=KI$5))&gt;0,"О","")</f>
        <v/>
      </c>
      <c r="KJ7" s="10" t="str">
        <f aca="false">IF(SUMPRODUCT((Отпуска!$A$5:$A$17=$A7)*(Отпуска!$B$5:$B$17&lt;=KJ$5)*(Отпуска!$D$5:$D$17&gt;=KJ$5))&gt;0,"О","")</f>
        <v/>
      </c>
      <c r="KK7" s="10" t="str">
        <f aca="false">IF(SUMPRODUCT((Отпуска!$A$5:$A$17=$A7)*(Отпуска!$B$5:$B$17&lt;=KK$5)*(Отпуска!$D$5:$D$17&gt;=KK$5))&gt;0,"О","")</f>
        <v/>
      </c>
      <c r="KL7" s="10" t="str">
        <f aca="false">IF(SUMPRODUCT((Отпуска!$A$5:$A$17=$A7)*(Отпуска!$B$5:$B$17&lt;=KL$5)*(Отпуска!$D$5:$D$17&gt;=KL$5))&gt;0,"О","")</f>
        <v/>
      </c>
      <c r="KM7" s="10" t="str">
        <f aca="false">IF(SUMPRODUCT((Отпуска!$A$5:$A$17=$A7)*(Отпуска!$B$5:$B$17&lt;=KM$5)*(Отпуска!$D$5:$D$17&gt;=KM$5))&gt;0,"О","")</f>
        <v/>
      </c>
      <c r="KN7" s="10" t="str">
        <f aca="false">IF(SUMPRODUCT((Отпуска!$A$5:$A$17=$A7)*(Отпуска!$B$5:$B$17&lt;=KN$5)*(Отпуска!$D$5:$D$17&gt;=KN$5))&gt;0,"О","")</f>
        <v/>
      </c>
      <c r="KO7" s="10" t="str">
        <f aca="false">IF(SUMPRODUCT((Отпуска!$A$5:$A$17=$A7)*(Отпуска!$B$5:$B$17&lt;=KO$5)*(Отпуска!$D$5:$D$17&gt;=KO$5))&gt;0,"О","")</f>
        <v/>
      </c>
      <c r="KP7" s="10" t="str">
        <f aca="false">IF(SUMPRODUCT((Отпуска!$A$5:$A$17=$A7)*(Отпуска!$B$5:$B$17&lt;=KP$5)*(Отпуска!$D$5:$D$17&gt;=KP$5))&gt;0,"О","")</f>
        <v/>
      </c>
      <c r="KQ7" s="10" t="str">
        <f aca="false">IF(SUMPRODUCT((Отпуска!$A$5:$A$17=$A7)*(Отпуска!$B$5:$B$17&lt;=KQ$5)*(Отпуска!$D$5:$D$17&gt;=KQ$5))&gt;0,"О","")</f>
        <v/>
      </c>
      <c r="KR7" s="10" t="str">
        <f aca="false">IF(SUMPRODUCT((Отпуска!$A$5:$A$17=$A7)*(Отпуска!$B$5:$B$17&lt;=KR$5)*(Отпуска!$D$5:$D$17&gt;=KR$5))&gt;0,"О","")</f>
        <v/>
      </c>
      <c r="KS7" s="10" t="str">
        <f aca="false">IF(SUMPRODUCT((Отпуска!$A$5:$A$17=$A7)*(Отпуска!$B$5:$B$17&lt;=KS$5)*(Отпуска!$D$5:$D$17&gt;=KS$5))&gt;0,"О","")</f>
        <v/>
      </c>
      <c r="KT7" s="10" t="str">
        <f aca="false">IF(SUMPRODUCT((Отпуска!$A$5:$A$17=$A7)*(Отпуска!$B$5:$B$17&lt;=KT$5)*(Отпуска!$D$5:$D$17&gt;=KT$5))&gt;0,"О","")</f>
        <v/>
      </c>
      <c r="KU7" s="10" t="str">
        <f aca="false">IF(SUMPRODUCT((Отпуска!$A$5:$A$17=$A7)*(Отпуска!$B$5:$B$17&lt;=KU$5)*(Отпуска!$D$5:$D$17&gt;=KU$5))&gt;0,"О","")</f>
        <v/>
      </c>
      <c r="KV7" s="10" t="str">
        <f aca="false">IF(SUMPRODUCT((Отпуска!$A$5:$A$17=$A7)*(Отпуска!$B$5:$B$17&lt;=KV$5)*(Отпуска!$D$5:$D$17&gt;=KV$5))&gt;0,"О","")</f>
        <v/>
      </c>
      <c r="KW7" s="10" t="str">
        <f aca="false">IF(SUMPRODUCT((Отпуска!$A$5:$A$17=$A7)*(Отпуска!$B$5:$B$17&lt;=KW$5)*(Отпуска!$D$5:$D$17&gt;=KW$5))&gt;0,"О","")</f>
        <v/>
      </c>
      <c r="KX7" s="10" t="str">
        <f aca="false">IF(SUMPRODUCT((Отпуска!$A$5:$A$17=$A7)*(Отпуска!$B$5:$B$17&lt;=KX$5)*(Отпуска!$D$5:$D$17&gt;=KX$5))&gt;0,"О","")</f>
        <v/>
      </c>
      <c r="KY7" s="10" t="str">
        <f aca="false">IF(SUMPRODUCT((Отпуска!$A$5:$A$17=$A7)*(Отпуска!$B$5:$B$17&lt;=KY$5)*(Отпуска!$D$5:$D$17&gt;=KY$5))&gt;0,"О","")</f>
        <v/>
      </c>
      <c r="KZ7" s="10" t="str">
        <f aca="false">IF(SUMPRODUCT((Отпуска!$A$5:$A$17=$A7)*(Отпуска!$B$5:$B$17&lt;=KZ$5)*(Отпуска!$D$5:$D$17&gt;=KZ$5))&gt;0,"О","")</f>
        <v/>
      </c>
      <c r="LA7" s="10" t="str">
        <f aca="false">IF(SUMPRODUCT((Отпуска!$A$5:$A$17=$A7)*(Отпуска!$B$5:$B$17&lt;=LA$5)*(Отпуска!$D$5:$D$17&gt;=LA$5))&gt;0,"О","")</f>
        <v/>
      </c>
      <c r="LB7" s="10" t="str">
        <f aca="false">IF(SUMPRODUCT((Отпуска!$A$5:$A$17=$A7)*(Отпуска!$B$5:$B$17&lt;=LB$5)*(Отпуска!$D$5:$D$17&gt;=LB$5))&gt;0,"О","")</f>
        <v/>
      </c>
      <c r="LC7" s="10" t="str">
        <f aca="false">IF(SUMPRODUCT((Отпуска!$A$5:$A$17=$A7)*(Отпуска!$B$5:$B$17&lt;=LC$5)*(Отпуска!$D$5:$D$17&gt;=LC$5))&gt;0,"О","")</f>
        <v/>
      </c>
      <c r="LD7" s="10" t="str">
        <f aca="false">IF(SUMPRODUCT((Отпуска!$A$5:$A$17=$A7)*(Отпуска!$B$5:$B$17&lt;=LD$5)*(Отпуска!$D$5:$D$17&gt;=LD$5))&gt;0,"О","")</f>
        <v/>
      </c>
      <c r="LE7" s="10" t="str">
        <f aca="false">IF(SUMPRODUCT((Отпуска!$A$5:$A$17=$A7)*(Отпуска!$B$5:$B$17&lt;=LE$5)*(Отпуска!$D$5:$D$17&gt;=LE$5))&gt;0,"О","")</f>
        <v/>
      </c>
      <c r="LF7" s="10" t="str">
        <f aca="false">IF(SUMPRODUCT((Отпуска!$A$5:$A$17=$A7)*(Отпуска!$B$5:$B$17&lt;=LF$5)*(Отпуска!$D$5:$D$17&gt;=LF$5))&gt;0,"О","")</f>
        <v/>
      </c>
      <c r="LG7" s="10" t="str">
        <f aca="false">IF(SUMPRODUCT((Отпуска!$A$5:$A$17=$A7)*(Отпуска!$B$5:$B$17&lt;=LG$5)*(Отпуска!$D$5:$D$17&gt;=LG$5))&gt;0,"О","")</f>
        <v/>
      </c>
      <c r="LH7" s="10" t="str">
        <f aca="false">IF(SUMPRODUCT((Отпуска!$A$5:$A$17=$A7)*(Отпуска!$B$5:$B$17&lt;=LH$5)*(Отпуска!$D$5:$D$17&gt;=LH$5))&gt;0,"О","")</f>
        <v/>
      </c>
      <c r="LI7" s="10" t="str">
        <f aca="false">IF(SUMPRODUCT((Отпуска!$A$5:$A$17=$A7)*(Отпуска!$B$5:$B$17&lt;=LI$5)*(Отпуска!$D$5:$D$17&gt;=LI$5))&gt;0,"О","")</f>
        <v/>
      </c>
      <c r="LJ7" s="10" t="str">
        <f aca="false">IF(SUMPRODUCT((Отпуска!$A$5:$A$17=$A7)*(Отпуска!$B$5:$B$17&lt;=LJ$5)*(Отпуска!$D$5:$D$17&gt;=LJ$5))&gt;0,"О","")</f>
        <v/>
      </c>
      <c r="LK7" s="10" t="str">
        <f aca="false">IF(SUMPRODUCT((Отпуска!$A$5:$A$17=$A7)*(Отпуска!$B$5:$B$17&lt;=LK$5)*(Отпуска!$D$5:$D$17&gt;=LK$5))&gt;0,"О","")</f>
        <v/>
      </c>
      <c r="LL7" s="10" t="str">
        <f aca="false">IF(SUMPRODUCT((Отпуска!$A$5:$A$17=$A7)*(Отпуска!$B$5:$B$17&lt;=LL$5)*(Отпуска!$D$5:$D$17&gt;=LL$5))&gt;0,"О","")</f>
        <v/>
      </c>
      <c r="LM7" s="10" t="str">
        <f aca="false">IF(SUMPRODUCT((Отпуска!$A$5:$A$17=$A7)*(Отпуска!$B$5:$B$17&lt;=LM$5)*(Отпуска!$D$5:$D$17&gt;=LM$5))&gt;0,"О","")</f>
        <v/>
      </c>
      <c r="LN7" s="10" t="str">
        <f aca="false">IF(SUMPRODUCT((Отпуска!$A$5:$A$17=$A7)*(Отпуска!$B$5:$B$17&lt;=LN$5)*(Отпуска!$D$5:$D$17&gt;=LN$5))&gt;0,"О","")</f>
        <v/>
      </c>
      <c r="LO7" s="10" t="str">
        <f aca="false">IF(SUMPRODUCT((Отпуска!$A$5:$A$17=$A7)*(Отпуска!$B$5:$B$17&lt;=LO$5)*(Отпуска!$D$5:$D$17&gt;=LO$5))&gt;0,"О","")</f>
        <v/>
      </c>
      <c r="LP7" s="10" t="str">
        <f aca="false">IF(SUMPRODUCT((Отпуска!$A$5:$A$17=$A7)*(Отпуска!$B$5:$B$17&lt;=LP$5)*(Отпуска!$D$5:$D$17&gt;=LP$5))&gt;0,"О","")</f>
        <v/>
      </c>
      <c r="LQ7" s="10" t="str">
        <f aca="false">IF(SUMPRODUCT((Отпуска!$A$5:$A$17=$A7)*(Отпуска!$B$5:$B$17&lt;=LQ$5)*(Отпуска!$D$5:$D$17&gt;=LQ$5))&gt;0,"О","")</f>
        <v/>
      </c>
      <c r="LR7" s="10" t="str">
        <f aca="false">IF(SUMPRODUCT((Отпуска!$A$5:$A$17=$A7)*(Отпуска!$B$5:$B$17&lt;=LR$5)*(Отпуска!$D$5:$D$17&gt;=LR$5))&gt;0,"О","")</f>
        <v/>
      </c>
      <c r="LS7" s="10" t="str">
        <f aca="false">IF(SUMPRODUCT((Отпуска!$A$5:$A$17=$A7)*(Отпуска!$B$5:$B$17&lt;=LS$5)*(Отпуска!$D$5:$D$17&gt;=LS$5))&gt;0,"О","")</f>
        <v/>
      </c>
      <c r="LT7" s="10" t="str">
        <f aca="false">IF(SUMPRODUCT((Отпуска!$A$5:$A$17=$A7)*(Отпуска!$B$5:$B$17&lt;=LT$5)*(Отпуска!$D$5:$D$17&gt;=LT$5))&gt;0,"О","")</f>
        <v/>
      </c>
      <c r="LU7" s="10" t="str">
        <f aca="false">IF(SUMPRODUCT((Отпуска!$A$5:$A$17=$A7)*(Отпуска!$B$5:$B$17&lt;=LU$5)*(Отпуска!$D$5:$D$17&gt;=LU$5))&gt;0,"О","")</f>
        <v/>
      </c>
      <c r="LV7" s="10" t="str">
        <f aca="false">IF(SUMPRODUCT((Отпуска!$A$5:$A$17=$A7)*(Отпуска!$B$5:$B$17&lt;=LV$5)*(Отпуска!$D$5:$D$17&gt;=LV$5))&gt;0,"О","")</f>
        <v/>
      </c>
      <c r="LW7" s="10" t="str">
        <f aca="false">IF(SUMPRODUCT((Отпуска!$A$5:$A$17=$A7)*(Отпуска!$B$5:$B$17&lt;=LW$5)*(Отпуска!$D$5:$D$17&gt;=LW$5))&gt;0,"О","")</f>
        <v/>
      </c>
      <c r="LX7" s="10" t="str">
        <f aca="false">IF(SUMPRODUCT((Отпуска!$A$5:$A$17=$A7)*(Отпуска!$B$5:$B$17&lt;=LX$5)*(Отпуска!$D$5:$D$17&gt;=LX$5))&gt;0,"О","")</f>
        <v/>
      </c>
      <c r="LY7" s="10" t="str">
        <f aca="false">IF(SUMPRODUCT((Отпуска!$A$5:$A$17=$A7)*(Отпуска!$B$5:$B$17&lt;=LY$5)*(Отпуска!$D$5:$D$17&gt;=LY$5))&gt;0,"О","")</f>
        <v/>
      </c>
      <c r="LZ7" s="10" t="str">
        <f aca="false">IF(SUMPRODUCT((Отпуска!$A$5:$A$17=$A7)*(Отпуска!$B$5:$B$17&lt;=LZ$5)*(Отпуска!$D$5:$D$17&gt;=LZ$5))&gt;0,"О","")</f>
        <v/>
      </c>
      <c r="MA7" s="10" t="str">
        <f aca="false">IF(SUMPRODUCT((Отпуска!$A$5:$A$17=$A7)*(Отпуска!$B$5:$B$17&lt;=MA$5)*(Отпуска!$D$5:$D$17&gt;=MA$5))&gt;0,"О","")</f>
        <v/>
      </c>
      <c r="MB7" s="10" t="str">
        <f aca="false">IF(SUMPRODUCT((Отпуска!$A$5:$A$17=$A7)*(Отпуска!$B$5:$B$17&lt;=MB$5)*(Отпуска!$D$5:$D$17&gt;=MB$5))&gt;0,"О","")</f>
        <v/>
      </c>
      <c r="MC7" s="10" t="str">
        <f aca="false">IF(SUMPRODUCT((Отпуска!$A$5:$A$17=$A7)*(Отпуска!$B$5:$B$17&lt;=MC$5)*(Отпуска!$D$5:$D$17&gt;=MC$5))&gt;0,"О","")</f>
        <v/>
      </c>
      <c r="MD7" s="10" t="str">
        <f aca="false">IF(SUMPRODUCT((Отпуска!$A$5:$A$17=$A7)*(Отпуска!$B$5:$B$17&lt;=MD$5)*(Отпуска!$D$5:$D$17&gt;=MD$5))&gt;0,"О","")</f>
        <v/>
      </c>
      <c r="ME7" s="10" t="str">
        <f aca="false">IF(SUMPRODUCT((Отпуска!$A$5:$A$17=$A7)*(Отпуска!$B$5:$B$17&lt;=ME$5)*(Отпуска!$D$5:$D$17&gt;=ME$5))&gt;0,"О","")</f>
        <v/>
      </c>
      <c r="MF7" s="10" t="str">
        <f aca="false">IF(SUMPRODUCT((Отпуска!$A$5:$A$17=$A7)*(Отпуска!$B$5:$B$17&lt;=MF$5)*(Отпуска!$D$5:$D$17&gt;=MF$5))&gt;0,"О","")</f>
        <v/>
      </c>
      <c r="MG7" s="10" t="str">
        <f aca="false">IF(SUMPRODUCT((Отпуска!$A$5:$A$17=$A7)*(Отпуска!$B$5:$B$17&lt;=MG$5)*(Отпуска!$D$5:$D$17&gt;=MG$5))&gt;0,"О","")</f>
        <v/>
      </c>
      <c r="MH7" s="10" t="str">
        <f aca="false">IF(SUMPRODUCT((Отпуска!$A$5:$A$17=$A7)*(Отпуска!$B$5:$B$17&lt;=MH$5)*(Отпуска!$D$5:$D$17&gt;=MH$5))&gt;0,"О","")</f>
        <v/>
      </c>
      <c r="MI7" s="10" t="str">
        <f aca="false">IF(SUMPRODUCT((Отпуска!$A$5:$A$17=$A7)*(Отпуска!$B$5:$B$17&lt;=MI$5)*(Отпуска!$D$5:$D$17&gt;=MI$5))&gt;0,"О","")</f>
        <v/>
      </c>
      <c r="MJ7" s="10" t="str">
        <f aca="false">IF(SUMPRODUCT((Отпуска!$A$5:$A$17=$A7)*(Отпуска!$B$5:$B$17&lt;=MJ$5)*(Отпуска!$D$5:$D$17&gt;=MJ$5))&gt;0,"О","")</f>
        <v/>
      </c>
      <c r="MK7" s="10" t="str">
        <f aca="false">IF(SUMPRODUCT((Отпуска!$A$5:$A$17=$A7)*(Отпуска!$B$5:$B$17&lt;=MK$5)*(Отпуска!$D$5:$D$17&gt;=MK$5))&gt;0,"О","")</f>
        <v/>
      </c>
      <c r="ML7" s="10" t="str">
        <f aca="false">IF(SUMPRODUCT((Отпуска!$A$5:$A$17=$A7)*(Отпуска!$B$5:$B$17&lt;=ML$5)*(Отпуска!$D$5:$D$17&gt;=ML$5))&gt;0,"О","")</f>
        <v/>
      </c>
      <c r="MM7" s="10" t="str">
        <f aca="false">IF(SUMPRODUCT((Отпуска!$A$5:$A$17=$A7)*(Отпуска!$B$5:$B$17&lt;=MM$5)*(Отпуска!$D$5:$D$17&gt;=MM$5))&gt;0,"О","")</f>
        <v/>
      </c>
      <c r="MN7" s="10" t="str">
        <f aca="false">IF(SUMPRODUCT((Отпуска!$A$5:$A$17=$A7)*(Отпуска!$B$5:$B$17&lt;=MN$5)*(Отпуска!$D$5:$D$17&gt;=MN$5))&gt;0,"О","")</f>
        <v/>
      </c>
      <c r="MO7" s="10" t="str">
        <f aca="false">IF(SUMPRODUCT((Отпуска!$A$5:$A$17=$A7)*(Отпуска!$B$5:$B$17&lt;=MO$5)*(Отпуска!$D$5:$D$17&gt;=MO$5))&gt;0,"О","")</f>
        <v/>
      </c>
      <c r="MP7" s="10" t="str">
        <f aca="false">IF(SUMPRODUCT((Отпуска!$A$5:$A$17=$A7)*(Отпуска!$B$5:$B$17&lt;=MP$5)*(Отпуска!$D$5:$D$17&gt;=MP$5))&gt;0,"О","")</f>
        <v/>
      </c>
      <c r="MQ7" s="10" t="str">
        <f aca="false">IF(SUMPRODUCT((Отпуска!$A$5:$A$17=$A7)*(Отпуска!$B$5:$B$17&lt;=MQ$5)*(Отпуска!$D$5:$D$17&gt;=MQ$5))&gt;0,"О","")</f>
        <v/>
      </c>
      <c r="MR7" s="10" t="str">
        <f aca="false">IF(SUMPRODUCT((Отпуска!$A$5:$A$17=$A7)*(Отпуска!$B$5:$B$17&lt;=MR$5)*(Отпуска!$D$5:$D$17&gt;=MR$5))&gt;0,"О","")</f>
        <v/>
      </c>
      <c r="MS7" s="10" t="str">
        <f aca="false">IF(SUMPRODUCT((Отпуска!$A$5:$A$17=$A7)*(Отпуска!$B$5:$B$17&lt;=MS$5)*(Отпуска!$D$5:$D$17&gt;=MS$5))&gt;0,"О","")</f>
        <v/>
      </c>
      <c r="MT7" s="10" t="str">
        <f aca="false">IF(SUMPRODUCT((Отпуска!$A$5:$A$17=$A7)*(Отпуска!$B$5:$B$17&lt;=MT$5)*(Отпуска!$D$5:$D$17&gt;=MT$5))&gt;0,"О","")</f>
        <v/>
      </c>
      <c r="MU7" s="10" t="str">
        <f aca="false">IF(SUMPRODUCT((Отпуска!$A$5:$A$17=$A7)*(Отпуска!$B$5:$B$17&lt;=MU$5)*(Отпуска!$D$5:$D$17&gt;=MU$5))&gt;0,"О","")</f>
        <v/>
      </c>
      <c r="MV7" s="10" t="str">
        <f aca="false">IF(SUMPRODUCT((Отпуска!$A$5:$A$17=$A7)*(Отпуска!$B$5:$B$17&lt;=MV$5)*(Отпуска!$D$5:$D$17&gt;=MV$5))&gt;0,"О","")</f>
        <v/>
      </c>
      <c r="MW7" s="10" t="str">
        <f aca="false">IF(SUMPRODUCT((Отпуска!$A$5:$A$17=$A7)*(Отпуска!$B$5:$B$17&lt;=MW$5)*(Отпуска!$D$5:$D$17&gt;=MW$5))&gt;0,"О","")</f>
        <v>О</v>
      </c>
      <c r="MX7" s="10" t="str">
        <f aca="false">IF(SUMPRODUCT((Отпуска!$A$5:$A$17=$A7)*(Отпуска!$B$5:$B$17&lt;=MX$5)*(Отпуска!$D$5:$D$17&gt;=MX$5))&gt;0,"О","")</f>
        <v>О</v>
      </c>
      <c r="MY7" s="10" t="str">
        <f aca="false">IF(SUMPRODUCT((Отпуска!$A$5:$A$17=$A7)*(Отпуска!$B$5:$B$17&lt;=MY$5)*(Отпуска!$D$5:$D$17&gt;=MY$5))&gt;0,"О","")</f>
        <v>О</v>
      </c>
      <c r="MZ7" s="10" t="str">
        <f aca="false">IF(SUMPRODUCT((Отпуска!$A$5:$A$17=$A7)*(Отпуска!$B$5:$B$17&lt;=MZ$5)*(Отпуска!$D$5:$D$17&gt;=MZ$5))&gt;0,"О","")</f>
        <v>О</v>
      </c>
      <c r="NA7" s="10" t="str">
        <f aca="false">IF(SUMPRODUCT((Отпуска!$A$5:$A$17=$A7)*(Отпуска!$B$5:$B$17&lt;=NA$5)*(Отпуска!$D$5:$D$17&gt;=NA$5))&gt;0,"О","")</f>
        <v>О</v>
      </c>
      <c r="NB7" s="10" t="str">
        <f aca="false">IF(SUMPRODUCT((Отпуска!$A$5:$A$17=$A7)*(Отпуска!$B$5:$B$17&lt;=NB$5)*(Отпуска!$D$5:$D$17&gt;=NB$5))&gt;0,"О","")</f>
        <v>О</v>
      </c>
      <c r="NC7" s="10" t="str">
        <f aca="false">IF(SUMPRODUCT((Отпуска!$A$5:$A$17=$A7)*(Отпуска!$B$5:$B$17&lt;=NC$5)*(Отпуска!$D$5:$D$17&gt;=NC$5))&gt;0,"О","")</f>
        <v>О</v>
      </c>
      <c r="ND7" s="10" t="str">
        <f aca="false">IF(SUMPRODUCT((Отпуска!$A$5:$A$17=$A7)*(Отпуска!$B$5:$B$17&lt;=ND$5)*(Отпуска!$D$5:$D$17&gt;=ND$5))&gt;0,"О","")</f>
        <v>О</v>
      </c>
    </row>
    <row r="8" customFormat="false" ht="18" hidden="false" customHeight="true" outlineLevel="0" collapsed="false">
      <c r="A8" s="11" t="s">
        <v>18</v>
      </c>
      <c r="B8" s="9" t="n">
        <f aca="false">COUNTIF(D8:ND8,"О")</f>
        <v>55</v>
      </c>
      <c r="C8" s="9" t="n">
        <f aca="false">SUMIF(Отпуска!$A$5:$A$17,$A8,Отпуска!$C$5:$C$17)</f>
        <v>55</v>
      </c>
      <c r="D8" s="10" t="str">
        <f aca="false">IF(SUMPRODUCT((Отпуска!$A$5:$A$17=$A8)*(Отпуска!$B$5:$B$17&lt;=D$5)*(Отпуска!$D$5:$D$17&gt;=D$5))&gt;0,"О","")</f>
        <v/>
      </c>
      <c r="E8" s="10" t="str">
        <f aca="false">IF(SUMPRODUCT((Отпуска!$A$5:$A$17=$A8)*(Отпуска!$B$5:$B$17&lt;=E$5)*(Отпуска!$D$5:$D$17&gt;=E$5))&gt;0,"О","")</f>
        <v/>
      </c>
      <c r="F8" s="10" t="str">
        <f aca="false">IF(SUMPRODUCT((Отпуска!$A$5:$A$17=$A8)*(Отпуска!$B$5:$B$17&lt;=F$5)*(Отпуска!$D$5:$D$17&gt;=F$5))&gt;0,"О","")</f>
        <v/>
      </c>
      <c r="G8" s="10" t="str">
        <f aca="false">IF(SUMPRODUCT((Отпуска!$A$5:$A$17=$A8)*(Отпуска!$B$5:$B$17&lt;=G$5)*(Отпуска!$D$5:$D$17&gt;=G$5))&gt;0,"О","")</f>
        <v/>
      </c>
      <c r="H8" s="10" t="str">
        <f aca="false">IF(SUMPRODUCT((Отпуска!$A$5:$A$17=$A8)*(Отпуска!$B$5:$B$17&lt;=H$5)*(Отпуска!$D$5:$D$17&gt;=H$5))&gt;0,"О","")</f>
        <v/>
      </c>
      <c r="I8" s="10" t="str">
        <f aca="false">IF(SUMPRODUCT((Отпуска!$A$5:$A$17=$A8)*(Отпуска!$B$5:$B$17&lt;=I$5)*(Отпуска!$D$5:$D$17&gt;=I$5))&gt;0,"О","")</f>
        <v/>
      </c>
      <c r="J8" s="10" t="str">
        <f aca="false">IF(SUMPRODUCT((Отпуска!$A$5:$A$17=$A8)*(Отпуска!$B$5:$B$17&lt;=J$5)*(Отпуска!$D$5:$D$17&gt;=J$5))&gt;0,"О","")</f>
        <v/>
      </c>
      <c r="K8" s="10" t="str">
        <f aca="false">IF(SUMPRODUCT((Отпуска!$A$5:$A$17=$A8)*(Отпуска!$B$5:$B$17&lt;=K$5)*(Отпуска!$D$5:$D$17&gt;=K$5))&gt;0,"О","")</f>
        <v/>
      </c>
      <c r="L8" s="10" t="str">
        <f aca="false">IF(SUMPRODUCT((Отпуска!$A$5:$A$17=$A8)*(Отпуска!$B$5:$B$17&lt;=L$5)*(Отпуска!$D$5:$D$17&gt;=L$5))&gt;0,"О","")</f>
        <v/>
      </c>
      <c r="M8" s="10" t="str">
        <f aca="false">IF(SUMPRODUCT((Отпуска!$A$5:$A$17=$A8)*(Отпуска!$B$5:$B$17&lt;=M$5)*(Отпуска!$D$5:$D$17&gt;=M$5))&gt;0,"О","")</f>
        <v/>
      </c>
      <c r="N8" s="10" t="str">
        <f aca="false">IF(SUMPRODUCT((Отпуска!$A$5:$A$17=$A8)*(Отпуска!$B$5:$B$17&lt;=N$5)*(Отпуска!$D$5:$D$17&gt;=N$5))&gt;0,"О","")</f>
        <v/>
      </c>
      <c r="O8" s="10" t="str">
        <f aca="false">IF(SUMPRODUCT((Отпуска!$A$5:$A$17=$A8)*(Отпуска!$B$5:$B$17&lt;=O$5)*(Отпуска!$D$5:$D$17&gt;=O$5))&gt;0,"О","")</f>
        <v/>
      </c>
      <c r="P8" s="10" t="str">
        <f aca="false">IF(SUMPRODUCT((Отпуска!$A$5:$A$17=$A8)*(Отпуска!$B$5:$B$17&lt;=P$5)*(Отпуска!$D$5:$D$17&gt;=P$5))&gt;0,"О","")</f>
        <v/>
      </c>
      <c r="Q8" s="10" t="str">
        <f aca="false">IF(SUMPRODUCT((Отпуска!$A$5:$A$17=$A8)*(Отпуска!$B$5:$B$17&lt;=Q$5)*(Отпуска!$D$5:$D$17&gt;=Q$5))&gt;0,"О","")</f>
        <v/>
      </c>
      <c r="R8" s="10" t="str">
        <f aca="false">IF(SUMPRODUCT((Отпуска!$A$5:$A$17=$A8)*(Отпуска!$B$5:$B$17&lt;=R$5)*(Отпуска!$D$5:$D$17&gt;=R$5))&gt;0,"О","")</f>
        <v/>
      </c>
      <c r="S8" s="10" t="str">
        <f aca="false">IF(SUMPRODUCT((Отпуска!$A$5:$A$17=$A8)*(Отпуска!$B$5:$B$17&lt;=S$5)*(Отпуска!$D$5:$D$17&gt;=S$5))&gt;0,"О","")</f>
        <v/>
      </c>
      <c r="T8" s="10" t="str">
        <f aca="false">IF(SUMPRODUCT((Отпуска!$A$5:$A$17=$A8)*(Отпуска!$B$5:$B$17&lt;=T$5)*(Отпуска!$D$5:$D$17&gt;=T$5))&gt;0,"О","")</f>
        <v/>
      </c>
      <c r="U8" s="10" t="str">
        <f aca="false">IF(SUMPRODUCT((Отпуска!$A$5:$A$17=$A8)*(Отпуска!$B$5:$B$17&lt;=U$5)*(Отпуска!$D$5:$D$17&gt;=U$5))&gt;0,"О","")</f>
        <v/>
      </c>
      <c r="V8" s="10" t="str">
        <f aca="false">IF(SUMPRODUCT((Отпуска!$A$5:$A$17=$A8)*(Отпуска!$B$5:$B$17&lt;=V$5)*(Отпуска!$D$5:$D$17&gt;=V$5))&gt;0,"О","")</f>
        <v/>
      </c>
      <c r="W8" s="10" t="str">
        <f aca="false">IF(SUMPRODUCT((Отпуска!$A$5:$A$17=$A8)*(Отпуска!$B$5:$B$17&lt;=W$5)*(Отпуска!$D$5:$D$17&gt;=W$5))&gt;0,"О","")</f>
        <v/>
      </c>
      <c r="X8" s="10" t="str">
        <f aca="false">IF(SUMPRODUCT((Отпуска!$A$5:$A$17=$A8)*(Отпуска!$B$5:$B$17&lt;=X$5)*(Отпуска!$D$5:$D$17&gt;=X$5))&gt;0,"О","")</f>
        <v/>
      </c>
      <c r="Y8" s="10" t="str">
        <f aca="false">IF(SUMPRODUCT((Отпуска!$A$5:$A$17=$A8)*(Отпуска!$B$5:$B$17&lt;=Y$5)*(Отпуска!$D$5:$D$17&gt;=Y$5))&gt;0,"О","")</f>
        <v/>
      </c>
      <c r="Z8" s="10" t="str">
        <f aca="false">IF(SUMPRODUCT((Отпуска!$A$5:$A$17=$A8)*(Отпуска!$B$5:$B$17&lt;=Z$5)*(Отпуска!$D$5:$D$17&gt;=Z$5))&gt;0,"О","")</f>
        <v/>
      </c>
      <c r="AA8" s="10" t="str">
        <f aca="false">IF(SUMPRODUCT((Отпуска!$A$5:$A$17=$A8)*(Отпуска!$B$5:$B$17&lt;=AA$5)*(Отпуска!$D$5:$D$17&gt;=AA$5))&gt;0,"О","")</f>
        <v/>
      </c>
      <c r="AB8" s="10" t="str">
        <f aca="false">IF(SUMPRODUCT((Отпуска!$A$5:$A$17=$A8)*(Отпуска!$B$5:$B$17&lt;=AB$5)*(Отпуска!$D$5:$D$17&gt;=AB$5))&gt;0,"О","")</f>
        <v/>
      </c>
      <c r="AC8" s="10" t="str">
        <f aca="false">IF(SUMPRODUCT((Отпуска!$A$5:$A$17=$A8)*(Отпуска!$B$5:$B$17&lt;=AC$5)*(Отпуска!$D$5:$D$17&gt;=AC$5))&gt;0,"О","")</f>
        <v/>
      </c>
      <c r="AD8" s="10" t="str">
        <f aca="false">IF(SUMPRODUCT((Отпуска!$A$5:$A$17=$A8)*(Отпуска!$B$5:$B$17&lt;=AD$5)*(Отпуска!$D$5:$D$17&gt;=AD$5))&gt;0,"О","")</f>
        <v/>
      </c>
      <c r="AE8" s="10" t="str">
        <f aca="false">IF(SUMPRODUCT((Отпуска!$A$5:$A$17=$A8)*(Отпуска!$B$5:$B$17&lt;=AE$5)*(Отпуска!$D$5:$D$17&gt;=AE$5))&gt;0,"О","")</f>
        <v/>
      </c>
      <c r="AF8" s="10" t="str">
        <f aca="false">IF(SUMPRODUCT((Отпуска!$A$5:$A$17=$A8)*(Отпуска!$B$5:$B$17&lt;=AF$5)*(Отпуска!$D$5:$D$17&gt;=AF$5))&gt;0,"О","")</f>
        <v/>
      </c>
      <c r="AG8" s="10" t="str">
        <f aca="false">IF(SUMPRODUCT((Отпуска!$A$5:$A$17=$A8)*(Отпуска!$B$5:$B$17&lt;=AG$5)*(Отпуска!$D$5:$D$17&gt;=AG$5))&gt;0,"О","")</f>
        <v/>
      </c>
      <c r="AH8" s="10" t="str">
        <f aca="false">IF(SUMPRODUCT((Отпуска!$A$5:$A$17=$A8)*(Отпуска!$B$5:$B$17&lt;=AH$5)*(Отпуска!$D$5:$D$17&gt;=AH$5))&gt;0,"О","")</f>
        <v/>
      </c>
      <c r="AI8" s="10" t="str">
        <f aca="false">IF(SUMPRODUCT((Отпуска!$A$5:$A$17=$A8)*(Отпуска!$B$5:$B$17&lt;=AI$5)*(Отпуска!$D$5:$D$17&gt;=AI$5))&gt;0,"О","")</f>
        <v/>
      </c>
      <c r="AJ8" s="10" t="str">
        <f aca="false">IF(SUMPRODUCT((Отпуска!$A$5:$A$17=$A8)*(Отпуска!$B$5:$B$17&lt;=AJ$5)*(Отпуска!$D$5:$D$17&gt;=AJ$5))&gt;0,"О","")</f>
        <v/>
      </c>
      <c r="AK8" s="10" t="str">
        <f aca="false">IF(SUMPRODUCT((Отпуска!$A$5:$A$17=$A8)*(Отпуска!$B$5:$B$17&lt;=AK$5)*(Отпуска!$D$5:$D$17&gt;=AK$5))&gt;0,"О","")</f>
        <v/>
      </c>
      <c r="AL8" s="10" t="str">
        <f aca="false">IF(SUMPRODUCT((Отпуска!$A$5:$A$17=$A8)*(Отпуска!$B$5:$B$17&lt;=AL$5)*(Отпуска!$D$5:$D$17&gt;=AL$5))&gt;0,"О","")</f>
        <v/>
      </c>
      <c r="AM8" s="10" t="str">
        <f aca="false">IF(SUMPRODUCT((Отпуска!$A$5:$A$17=$A8)*(Отпуска!$B$5:$B$17&lt;=AM$5)*(Отпуска!$D$5:$D$17&gt;=AM$5))&gt;0,"О","")</f>
        <v/>
      </c>
      <c r="AN8" s="10" t="str">
        <f aca="false">IF(SUMPRODUCT((Отпуска!$A$5:$A$17=$A8)*(Отпуска!$B$5:$B$17&lt;=AN$5)*(Отпуска!$D$5:$D$17&gt;=AN$5))&gt;0,"О","")</f>
        <v/>
      </c>
      <c r="AO8" s="10" t="str">
        <f aca="false">IF(SUMPRODUCT((Отпуска!$A$5:$A$17=$A8)*(Отпуска!$B$5:$B$17&lt;=AO$5)*(Отпуска!$D$5:$D$17&gt;=AO$5))&gt;0,"О","")</f>
        <v/>
      </c>
      <c r="AP8" s="10" t="str">
        <f aca="false">IF(SUMPRODUCT((Отпуска!$A$5:$A$17=$A8)*(Отпуска!$B$5:$B$17&lt;=AP$5)*(Отпуска!$D$5:$D$17&gt;=AP$5))&gt;0,"О","")</f>
        <v/>
      </c>
      <c r="AQ8" s="10" t="str">
        <f aca="false">IF(SUMPRODUCT((Отпуска!$A$5:$A$17=$A8)*(Отпуска!$B$5:$B$17&lt;=AQ$5)*(Отпуска!$D$5:$D$17&gt;=AQ$5))&gt;0,"О","")</f>
        <v/>
      </c>
      <c r="AR8" s="10" t="str">
        <f aca="false">IF(SUMPRODUCT((Отпуска!$A$5:$A$17=$A8)*(Отпуска!$B$5:$B$17&lt;=AR$5)*(Отпуска!$D$5:$D$17&gt;=AR$5))&gt;0,"О","")</f>
        <v/>
      </c>
      <c r="AS8" s="10" t="str">
        <f aca="false">IF(SUMPRODUCT((Отпуска!$A$5:$A$17=$A8)*(Отпуска!$B$5:$B$17&lt;=AS$5)*(Отпуска!$D$5:$D$17&gt;=AS$5))&gt;0,"О","")</f>
        <v/>
      </c>
      <c r="AT8" s="10" t="str">
        <f aca="false">IF(SUMPRODUCT((Отпуска!$A$5:$A$17=$A8)*(Отпуска!$B$5:$B$17&lt;=AT$5)*(Отпуска!$D$5:$D$17&gt;=AT$5))&gt;0,"О","")</f>
        <v/>
      </c>
      <c r="AU8" s="10" t="str">
        <f aca="false">IF(SUMPRODUCT((Отпуска!$A$5:$A$17=$A8)*(Отпуска!$B$5:$B$17&lt;=AU$5)*(Отпуска!$D$5:$D$17&gt;=AU$5))&gt;0,"О","")</f>
        <v/>
      </c>
      <c r="AV8" s="10" t="str">
        <f aca="false">IF(SUMPRODUCT((Отпуска!$A$5:$A$17=$A8)*(Отпуска!$B$5:$B$17&lt;=AV$5)*(Отпуска!$D$5:$D$17&gt;=AV$5))&gt;0,"О","")</f>
        <v/>
      </c>
      <c r="AW8" s="10" t="str">
        <f aca="false">IF(SUMPRODUCT((Отпуска!$A$5:$A$17=$A8)*(Отпуска!$B$5:$B$17&lt;=AW$5)*(Отпуска!$D$5:$D$17&gt;=AW$5))&gt;0,"О","")</f>
        <v/>
      </c>
      <c r="AX8" s="10" t="str">
        <f aca="false">IF(SUMPRODUCT((Отпуска!$A$5:$A$17=$A8)*(Отпуска!$B$5:$B$17&lt;=AX$5)*(Отпуска!$D$5:$D$17&gt;=AX$5))&gt;0,"О","")</f>
        <v/>
      </c>
      <c r="AY8" s="10" t="str">
        <f aca="false">IF(SUMPRODUCT((Отпуска!$A$5:$A$17=$A8)*(Отпуска!$B$5:$B$17&lt;=AY$5)*(Отпуска!$D$5:$D$17&gt;=AY$5))&gt;0,"О","")</f>
        <v/>
      </c>
      <c r="AZ8" s="10" t="str">
        <f aca="false">IF(SUMPRODUCT((Отпуска!$A$5:$A$17=$A8)*(Отпуска!$B$5:$B$17&lt;=AZ$5)*(Отпуска!$D$5:$D$17&gt;=AZ$5))&gt;0,"О","")</f>
        <v/>
      </c>
      <c r="BA8" s="10" t="str">
        <f aca="false">IF(SUMPRODUCT((Отпуска!$A$5:$A$17=$A8)*(Отпуска!$B$5:$B$17&lt;=BA$5)*(Отпуска!$D$5:$D$17&gt;=BA$5))&gt;0,"О","")</f>
        <v/>
      </c>
      <c r="BB8" s="10" t="str">
        <f aca="false">IF(SUMPRODUCT((Отпуска!$A$5:$A$17=$A8)*(Отпуска!$B$5:$B$17&lt;=BB$5)*(Отпуска!$D$5:$D$17&gt;=BB$5))&gt;0,"О","")</f>
        <v/>
      </c>
      <c r="BC8" s="10" t="str">
        <f aca="false">IF(SUMPRODUCT((Отпуска!$A$5:$A$17=$A8)*(Отпуска!$B$5:$B$17&lt;=BC$5)*(Отпуска!$D$5:$D$17&gt;=BC$5))&gt;0,"О","")</f>
        <v/>
      </c>
      <c r="BD8" s="10" t="str">
        <f aca="false">IF(SUMPRODUCT((Отпуска!$A$5:$A$17=$A8)*(Отпуска!$B$5:$B$17&lt;=BD$5)*(Отпуска!$D$5:$D$17&gt;=BD$5))&gt;0,"О","")</f>
        <v/>
      </c>
      <c r="BE8" s="10" t="str">
        <f aca="false">IF(SUMPRODUCT((Отпуска!$A$5:$A$17=$A8)*(Отпуска!$B$5:$B$17&lt;=BE$5)*(Отпуска!$D$5:$D$17&gt;=BE$5))&gt;0,"О","")</f>
        <v/>
      </c>
      <c r="BF8" s="10" t="str">
        <f aca="false">IF(SUMPRODUCT((Отпуска!$A$5:$A$17=$A8)*(Отпуска!$B$5:$B$17&lt;=BF$5)*(Отпуска!$D$5:$D$17&gt;=BF$5))&gt;0,"О","")</f>
        <v/>
      </c>
      <c r="BG8" s="10" t="str">
        <f aca="false">IF(SUMPRODUCT((Отпуска!$A$5:$A$17=$A8)*(Отпуска!$B$5:$B$17&lt;=BG$5)*(Отпуска!$D$5:$D$17&gt;=BG$5))&gt;0,"О","")</f>
        <v/>
      </c>
      <c r="BH8" s="10" t="str">
        <f aca="false">IF(SUMPRODUCT((Отпуска!$A$5:$A$17=$A8)*(Отпуска!$B$5:$B$17&lt;=BH$5)*(Отпуска!$D$5:$D$17&gt;=BH$5))&gt;0,"О","")</f>
        <v/>
      </c>
      <c r="BI8" s="10" t="str">
        <f aca="false">IF(SUMPRODUCT((Отпуска!$A$5:$A$17=$A8)*(Отпуска!$B$5:$B$17&lt;=BI$5)*(Отпуска!$D$5:$D$17&gt;=BI$5))&gt;0,"О","")</f>
        <v/>
      </c>
      <c r="BJ8" s="10" t="str">
        <f aca="false">IF(SUMPRODUCT((Отпуска!$A$5:$A$17=$A8)*(Отпуска!$B$5:$B$17&lt;=BJ$5)*(Отпуска!$D$5:$D$17&gt;=BJ$5))&gt;0,"О","")</f>
        <v/>
      </c>
      <c r="BK8" s="10" t="str">
        <f aca="false">IF(SUMPRODUCT((Отпуска!$A$5:$A$17=$A8)*(Отпуска!$B$5:$B$17&lt;=BK$5)*(Отпуска!$D$5:$D$17&gt;=BK$5))&gt;0,"О","")</f>
        <v/>
      </c>
      <c r="BL8" s="10" t="str">
        <f aca="false">IF(SUMPRODUCT((Отпуска!$A$5:$A$17=$A8)*(Отпуска!$B$5:$B$17&lt;=BL$5)*(Отпуска!$D$5:$D$17&gt;=BL$5))&gt;0,"О","")</f>
        <v/>
      </c>
      <c r="BM8" s="10" t="str">
        <f aca="false">IF(SUMPRODUCT((Отпуска!$A$5:$A$17=$A8)*(Отпуска!$B$5:$B$17&lt;=BM$5)*(Отпуска!$D$5:$D$17&gt;=BM$5))&gt;0,"О","")</f>
        <v/>
      </c>
      <c r="BN8" s="10" t="str">
        <f aca="false">IF(SUMPRODUCT((Отпуска!$A$5:$A$17=$A8)*(Отпуска!$B$5:$B$17&lt;=BN$5)*(Отпуска!$D$5:$D$17&gt;=BN$5))&gt;0,"О","")</f>
        <v/>
      </c>
      <c r="BO8" s="10" t="str">
        <f aca="false">IF(SUMPRODUCT((Отпуска!$A$5:$A$17=$A8)*(Отпуска!$B$5:$B$17&lt;=BO$5)*(Отпуска!$D$5:$D$17&gt;=BO$5))&gt;0,"О","")</f>
        <v/>
      </c>
      <c r="BP8" s="10" t="str">
        <f aca="false">IF(SUMPRODUCT((Отпуска!$A$5:$A$17=$A8)*(Отпуска!$B$5:$B$17&lt;=BP$5)*(Отпуска!$D$5:$D$17&gt;=BP$5))&gt;0,"О","")</f>
        <v/>
      </c>
      <c r="BQ8" s="10" t="str">
        <f aca="false">IF(SUMPRODUCT((Отпуска!$A$5:$A$17=$A8)*(Отпуска!$B$5:$B$17&lt;=BQ$5)*(Отпуска!$D$5:$D$17&gt;=BQ$5))&gt;0,"О","")</f>
        <v/>
      </c>
      <c r="BR8" s="10" t="str">
        <f aca="false">IF(SUMPRODUCT((Отпуска!$A$5:$A$17=$A8)*(Отпуска!$B$5:$B$17&lt;=BR$5)*(Отпуска!$D$5:$D$17&gt;=BR$5))&gt;0,"О","")</f>
        <v/>
      </c>
      <c r="BS8" s="10" t="str">
        <f aca="false">IF(SUMPRODUCT((Отпуска!$A$5:$A$17=$A8)*(Отпуска!$B$5:$B$17&lt;=BS$5)*(Отпуска!$D$5:$D$17&gt;=BS$5))&gt;0,"О","")</f>
        <v>О</v>
      </c>
      <c r="BT8" s="10" t="str">
        <f aca="false">IF(SUMPRODUCT((Отпуска!$A$5:$A$17=$A8)*(Отпуска!$B$5:$B$17&lt;=BT$5)*(Отпуска!$D$5:$D$17&gt;=BT$5))&gt;0,"О","")</f>
        <v>О</v>
      </c>
      <c r="BU8" s="10" t="str">
        <f aca="false">IF(SUMPRODUCT((Отпуска!$A$5:$A$17=$A8)*(Отпуска!$B$5:$B$17&lt;=BU$5)*(Отпуска!$D$5:$D$17&gt;=BU$5))&gt;0,"О","")</f>
        <v>О</v>
      </c>
      <c r="BV8" s="10" t="str">
        <f aca="false">IF(SUMPRODUCT((Отпуска!$A$5:$A$17=$A8)*(Отпуска!$B$5:$B$17&lt;=BV$5)*(Отпуска!$D$5:$D$17&gt;=BV$5))&gt;0,"О","")</f>
        <v>О</v>
      </c>
      <c r="BW8" s="10" t="str">
        <f aca="false">IF(SUMPRODUCT((Отпуска!$A$5:$A$17=$A8)*(Отпуска!$B$5:$B$17&lt;=BW$5)*(Отпуска!$D$5:$D$17&gt;=BW$5))&gt;0,"О","")</f>
        <v>О</v>
      </c>
      <c r="BX8" s="10" t="str">
        <f aca="false">IF(SUMPRODUCT((Отпуска!$A$5:$A$17=$A8)*(Отпуска!$B$5:$B$17&lt;=BX$5)*(Отпуска!$D$5:$D$17&gt;=BX$5))&gt;0,"О","")</f>
        <v>О</v>
      </c>
      <c r="BY8" s="10" t="str">
        <f aca="false">IF(SUMPRODUCT((Отпуска!$A$5:$A$17=$A8)*(Отпуска!$B$5:$B$17&lt;=BY$5)*(Отпуска!$D$5:$D$17&gt;=BY$5))&gt;0,"О","")</f>
        <v>О</v>
      </c>
      <c r="BZ8" s="10" t="str">
        <f aca="false">IF(SUMPRODUCT((Отпуска!$A$5:$A$17=$A8)*(Отпуска!$B$5:$B$17&lt;=BZ$5)*(Отпуска!$D$5:$D$17&gt;=BZ$5))&gt;0,"О","")</f>
        <v>О</v>
      </c>
      <c r="CA8" s="10" t="str">
        <f aca="false">IF(SUMPRODUCT((Отпуска!$A$5:$A$17=$A8)*(Отпуска!$B$5:$B$17&lt;=CA$5)*(Отпуска!$D$5:$D$17&gt;=CA$5))&gt;0,"О","")</f>
        <v>О</v>
      </c>
      <c r="CB8" s="10" t="str">
        <f aca="false">IF(SUMPRODUCT((Отпуска!$A$5:$A$17=$A8)*(Отпуска!$B$5:$B$17&lt;=CB$5)*(Отпуска!$D$5:$D$17&gt;=CB$5))&gt;0,"О","")</f>
        <v>О</v>
      </c>
      <c r="CC8" s="10" t="str">
        <f aca="false">IF(SUMPRODUCT((Отпуска!$A$5:$A$17=$A8)*(Отпуска!$B$5:$B$17&lt;=CC$5)*(Отпуска!$D$5:$D$17&gt;=CC$5))&gt;0,"О","")</f>
        <v>О</v>
      </c>
      <c r="CD8" s="10" t="str">
        <f aca="false">IF(SUMPRODUCT((Отпуска!$A$5:$A$17=$A8)*(Отпуска!$B$5:$B$17&lt;=CD$5)*(Отпуска!$D$5:$D$17&gt;=CD$5))&gt;0,"О","")</f>
        <v>О</v>
      </c>
      <c r="CE8" s="10" t="str">
        <f aca="false">IF(SUMPRODUCT((Отпуска!$A$5:$A$17=$A8)*(Отпуска!$B$5:$B$17&lt;=CE$5)*(Отпуска!$D$5:$D$17&gt;=CE$5))&gt;0,"О","")</f>
        <v>О</v>
      </c>
      <c r="CF8" s="10" t="str">
        <f aca="false">IF(SUMPRODUCT((Отпуска!$A$5:$A$17=$A8)*(Отпуска!$B$5:$B$17&lt;=CF$5)*(Отпуска!$D$5:$D$17&gt;=CF$5))&gt;0,"О","")</f>
        <v/>
      </c>
      <c r="CG8" s="10" t="str">
        <f aca="false">IF(SUMPRODUCT((Отпуска!$A$5:$A$17=$A8)*(Отпуска!$B$5:$B$17&lt;=CG$5)*(Отпуска!$D$5:$D$17&gt;=CG$5))&gt;0,"О","")</f>
        <v/>
      </c>
      <c r="CH8" s="10" t="str">
        <f aca="false">IF(SUMPRODUCT((Отпуска!$A$5:$A$17=$A8)*(Отпуска!$B$5:$B$17&lt;=CH$5)*(Отпуска!$D$5:$D$17&gt;=CH$5))&gt;0,"О","")</f>
        <v/>
      </c>
      <c r="CI8" s="10" t="str">
        <f aca="false">IF(SUMPRODUCT((Отпуска!$A$5:$A$17=$A8)*(Отпуска!$B$5:$B$17&lt;=CI$5)*(Отпуска!$D$5:$D$17&gt;=CI$5))&gt;0,"О","")</f>
        <v/>
      </c>
      <c r="CJ8" s="10" t="str">
        <f aca="false">IF(SUMPRODUCT((Отпуска!$A$5:$A$17=$A8)*(Отпуска!$B$5:$B$17&lt;=CJ$5)*(Отпуска!$D$5:$D$17&gt;=CJ$5))&gt;0,"О","")</f>
        <v/>
      </c>
      <c r="CK8" s="10" t="str">
        <f aca="false">IF(SUMPRODUCT((Отпуска!$A$5:$A$17=$A8)*(Отпуска!$B$5:$B$17&lt;=CK$5)*(Отпуска!$D$5:$D$17&gt;=CK$5))&gt;0,"О","")</f>
        <v/>
      </c>
      <c r="CL8" s="10" t="str">
        <f aca="false">IF(SUMPRODUCT((Отпуска!$A$5:$A$17=$A8)*(Отпуска!$B$5:$B$17&lt;=CL$5)*(Отпуска!$D$5:$D$17&gt;=CL$5))&gt;0,"О","")</f>
        <v/>
      </c>
      <c r="CM8" s="10" t="str">
        <f aca="false">IF(SUMPRODUCT((Отпуска!$A$5:$A$17=$A8)*(Отпуска!$B$5:$B$17&lt;=CM$5)*(Отпуска!$D$5:$D$17&gt;=CM$5))&gt;0,"О","")</f>
        <v/>
      </c>
      <c r="CN8" s="10" t="str">
        <f aca="false">IF(SUMPRODUCT((Отпуска!$A$5:$A$17=$A8)*(Отпуска!$B$5:$B$17&lt;=CN$5)*(Отпуска!$D$5:$D$17&gt;=CN$5))&gt;0,"О","")</f>
        <v/>
      </c>
      <c r="CO8" s="10" t="str">
        <f aca="false">IF(SUMPRODUCT((Отпуска!$A$5:$A$17=$A8)*(Отпуска!$B$5:$B$17&lt;=CO$5)*(Отпуска!$D$5:$D$17&gt;=CO$5))&gt;0,"О","")</f>
        <v/>
      </c>
      <c r="CP8" s="10" t="str">
        <f aca="false">IF(SUMPRODUCT((Отпуска!$A$5:$A$17=$A8)*(Отпуска!$B$5:$B$17&lt;=CP$5)*(Отпуска!$D$5:$D$17&gt;=CP$5))&gt;0,"О","")</f>
        <v/>
      </c>
      <c r="CQ8" s="10" t="str">
        <f aca="false">IF(SUMPRODUCT((Отпуска!$A$5:$A$17=$A8)*(Отпуска!$B$5:$B$17&lt;=CQ$5)*(Отпуска!$D$5:$D$17&gt;=CQ$5))&gt;0,"О","")</f>
        <v/>
      </c>
      <c r="CR8" s="10" t="str">
        <f aca="false">IF(SUMPRODUCT((Отпуска!$A$5:$A$17=$A8)*(Отпуска!$B$5:$B$17&lt;=CR$5)*(Отпуска!$D$5:$D$17&gt;=CR$5))&gt;0,"О","")</f>
        <v/>
      </c>
      <c r="CS8" s="10" t="str">
        <f aca="false">IF(SUMPRODUCT((Отпуска!$A$5:$A$17=$A8)*(Отпуска!$B$5:$B$17&lt;=CS$5)*(Отпуска!$D$5:$D$17&gt;=CS$5))&gt;0,"О","")</f>
        <v/>
      </c>
      <c r="CT8" s="10" t="str">
        <f aca="false">IF(SUMPRODUCT((Отпуска!$A$5:$A$17=$A8)*(Отпуска!$B$5:$B$17&lt;=CT$5)*(Отпуска!$D$5:$D$17&gt;=CT$5))&gt;0,"О","")</f>
        <v/>
      </c>
      <c r="CU8" s="10" t="str">
        <f aca="false">IF(SUMPRODUCT((Отпуска!$A$5:$A$17=$A8)*(Отпуска!$B$5:$B$17&lt;=CU$5)*(Отпуска!$D$5:$D$17&gt;=CU$5))&gt;0,"О","")</f>
        <v/>
      </c>
      <c r="CV8" s="10" t="str">
        <f aca="false">IF(SUMPRODUCT((Отпуска!$A$5:$A$17=$A8)*(Отпуска!$B$5:$B$17&lt;=CV$5)*(Отпуска!$D$5:$D$17&gt;=CV$5))&gt;0,"О","")</f>
        <v/>
      </c>
      <c r="CW8" s="10" t="str">
        <f aca="false">IF(SUMPRODUCT((Отпуска!$A$5:$A$17=$A8)*(Отпуска!$B$5:$B$17&lt;=CW$5)*(Отпуска!$D$5:$D$17&gt;=CW$5))&gt;0,"О","")</f>
        <v/>
      </c>
      <c r="CX8" s="10" t="str">
        <f aca="false">IF(SUMPRODUCT((Отпуска!$A$5:$A$17=$A8)*(Отпуска!$B$5:$B$17&lt;=CX$5)*(Отпуска!$D$5:$D$17&gt;=CX$5))&gt;0,"О","")</f>
        <v/>
      </c>
      <c r="CY8" s="10" t="str">
        <f aca="false">IF(SUMPRODUCT((Отпуска!$A$5:$A$17=$A8)*(Отпуска!$B$5:$B$17&lt;=CY$5)*(Отпуска!$D$5:$D$17&gt;=CY$5))&gt;0,"О","")</f>
        <v/>
      </c>
      <c r="CZ8" s="10" t="str">
        <f aca="false">IF(SUMPRODUCT((Отпуска!$A$5:$A$17=$A8)*(Отпуска!$B$5:$B$17&lt;=CZ$5)*(Отпуска!$D$5:$D$17&gt;=CZ$5))&gt;0,"О","")</f>
        <v/>
      </c>
      <c r="DA8" s="10" t="str">
        <f aca="false">IF(SUMPRODUCT((Отпуска!$A$5:$A$17=$A8)*(Отпуска!$B$5:$B$17&lt;=DA$5)*(Отпуска!$D$5:$D$17&gt;=DA$5))&gt;0,"О","")</f>
        <v/>
      </c>
      <c r="DB8" s="10" t="str">
        <f aca="false">IF(SUMPRODUCT((Отпуска!$A$5:$A$17=$A8)*(Отпуска!$B$5:$B$17&lt;=DB$5)*(Отпуска!$D$5:$D$17&gt;=DB$5))&gt;0,"О","")</f>
        <v/>
      </c>
      <c r="DC8" s="10" t="str">
        <f aca="false">IF(SUMPRODUCT((Отпуска!$A$5:$A$17=$A8)*(Отпуска!$B$5:$B$17&lt;=DC$5)*(Отпуска!$D$5:$D$17&gt;=DC$5))&gt;0,"О","")</f>
        <v/>
      </c>
      <c r="DD8" s="10" t="str">
        <f aca="false">IF(SUMPRODUCT((Отпуска!$A$5:$A$17=$A8)*(Отпуска!$B$5:$B$17&lt;=DD$5)*(Отпуска!$D$5:$D$17&gt;=DD$5))&gt;0,"О","")</f>
        <v/>
      </c>
      <c r="DE8" s="10" t="str">
        <f aca="false">IF(SUMPRODUCT((Отпуска!$A$5:$A$17=$A8)*(Отпуска!$B$5:$B$17&lt;=DE$5)*(Отпуска!$D$5:$D$17&gt;=DE$5))&gt;0,"О","")</f>
        <v/>
      </c>
      <c r="DF8" s="10" t="str">
        <f aca="false">IF(SUMPRODUCT((Отпуска!$A$5:$A$17=$A8)*(Отпуска!$B$5:$B$17&lt;=DF$5)*(Отпуска!$D$5:$D$17&gt;=DF$5))&gt;0,"О","")</f>
        <v/>
      </c>
      <c r="DG8" s="10" t="str">
        <f aca="false">IF(SUMPRODUCT((Отпуска!$A$5:$A$17=$A8)*(Отпуска!$B$5:$B$17&lt;=DG$5)*(Отпуска!$D$5:$D$17&gt;=DG$5))&gt;0,"О","")</f>
        <v/>
      </c>
      <c r="DH8" s="10" t="str">
        <f aca="false">IF(SUMPRODUCT((Отпуска!$A$5:$A$17=$A8)*(Отпуска!$B$5:$B$17&lt;=DH$5)*(Отпуска!$D$5:$D$17&gt;=DH$5))&gt;0,"О","")</f>
        <v/>
      </c>
      <c r="DI8" s="10" t="str">
        <f aca="false">IF(SUMPRODUCT((Отпуска!$A$5:$A$17=$A8)*(Отпуска!$B$5:$B$17&lt;=DI$5)*(Отпуска!$D$5:$D$17&gt;=DI$5))&gt;0,"О","")</f>
        <v/>
      </c>
      <c r="DJ8" s="10" t="str">
        <f aca="false">IF(SUMPRODUCT((Отпуска!$A$5:$A$17=$A8)*(Отпуска!$B$5:$B$17&lt;=DJ$5)*(Отпуска!$D$5:$D$17&gt;=DJ$5))&gt;0,"О","")</f>
        <v/>
      </c>
      <c r="DK8" s="10" t="str">
        <f aca="false">IF(SUMPRODUCT((Отпуска!$A$5:$A$17=$A8)*(Отпуска!$B$5:$B$17&lt;=DK$5)*(Отпуска!$D$5:$D$17&gt;=DK$5))&gt;0,"О","")</f>
        <v/>
      </c>
      <c r="DL8" s="10" t="str">
        <f aca="false">IF(SUMPRODUCT((Отпуска!$A$5:$A$17=$A8)*(Отпуска!$B$5:$B$17&lt;=DL$5)*(Отпуска!$D$5:$D$17&gt;=DL$5))&gt;0,"О","")</f>
        <v/>
      </c>
      <c r="DM8" s="10" t="str">
        <f aca="false">IF(SUMPRODUCT((Отпуска!$A$5:$A$17=$A8)*(Отпуска!$B$5:$B$17&lt;=DM$5)*(Отпуска!$D$5:$D$17&gt;=DM$5))&gt;0,"О","")</f>
        <v/>
      </c>
      <c r="DN8" s="10" t="str">
        <f aca="false">IF(SUMPRODUCT((Отпуска!$A$5:$A$17=$A8)*(Отпуска!$B$5:$B$17&lt;=DN$5)*(Отпуска!$D$5:$D$17&gt;=DN$5))&gt;0,"О","")</f>
        <v/>
      </c>
      <c r="DO8" s="10" t="str">
        <f aca="false">IF(SUMPRODUCT((Отпуска!$A$5:$A$17=$A8)*(Отпуска!$B$5:$B$17&lt;=DO$5)*(Отпуска!$D$5:$D$17&gt;=DO$5))&gt;0,"О","")</f>
        <v/>
      </c>
      <c r="DP8" s="10" t="str">
        <f aca="false">IF(SUMPRODUCT((Отпуска!$A$5:$A$17=$A8)*(Отпуска!$B$5:$B$17&lt;=DP$5)*(Отпуска!$D$5:$D$17&gt;=DP$5))&gt;0,"О","")</f>
        <v/>
      </c>
      <c r="DQ8" s="10" t="str">
        <f aca="false">IF(SUMPRODUCT((Отпуска!$A$5:$A$17=$A8)*(Отпуска!$B$5:$B$17&lt;=DQ$5)*(Отпуска!$D$5:$D$17&gt;=DQ$5))&gt;0,"О","")</f>
        <v/>
      </c>
      <c r="DR8" s="10" t="str">
        <f aca="false">IF(SUMPRODUCT((Отпуска!$A$5:$A$17=$A8)*(Отпуска!$B$5:$B$17&lt;=DR$5)*(Отпуска!$D$5:$D$17&gt;=DR$5))&gt;0,"О","")</f>
        <v/>
      </c>
      <c r="DS8" s="10" t="str">
        <f aca="false">IF(SUMPRODUCT((Отпуска!$A$5:$A$17=$A8)*(Отпуска!$B$5:$B$17&lt;=DS$5)*(Отпуска!$D$5:$D$17&gt;=DS$5))&gt;0,"О","")</f>
        <v/>
      </c>
      <c r="DT8" s="10" t="str">
        <f aca="false">IF(SUMPRODUCT((Отпуска!$A$5:$A$17=$A8)*(Отпуска!$B$5:$B$17&lt;=DT$5)*(Отпуска!$D$5:$D$17&gt;=DT$5))&gt;0,"О","")</f>
        <v/>
      </c>
      <c r="DU8" s="10" t="str">
        <f aca="false">IF(SUMPRODUCT((Отпуска!$A$5:$A$17=$A8)*(Отпуска!$B$5:$B$17&lt;=DU$5)*(Отпуска!$D$5:$D$17&gt;=DU$5))&gt;0,"О","")</f>
        <v/>
      </c>
      <c r="DV8" s="10" t="str">
        <f aca="false">IF(SUMPRODUCT((Отпуска!$A$5:$A$17=$A8)*(Отпуска!$B$5:$B$17&lt;=DV$5)*(Отпуска!$D$5:$D$17&gt;=DV$5))&gt;0,"О","")</f>
        <v/>
      </c>
      <c r="DW8" s="10" t="str">
        <f aca="false">IF(SUMPRODUCT((Отпуска!$A$5:$A$17=$A8)*(Отпуска!$B$5:$B$17&lt;=DW$5)*(Отпуска!$D$5:$D$17&gt;=DW$5))&gt;0,"О","")</f>
        <v/>
      </c>
      <c r="DX8" s="10" t="str">
        <f aca="false">IF(SUMPRODUCT((Отпуска!$A$5:$A$17=$A8)*(Отпуска!$B$5:$B$17&lt;=DX$5)*(Отпуска!$D$5:$D$17&gt;=DX$5))&gt;0,"О","")</f>
        <v/>
      </c>
      <c r="DY8" s="10" t="str">
        <f aca="false">IF(SUMPRODUCT((Отпуска!$A$5:$A$17=$A8)*(Отпуска!$B$5:$B$17&lt;=DY$5)*(Отпуска!$D$5:$D$17&gt;=DY$5))&gt;0,"О","")</f>
        <v/>
      </c>
      <c r="DZ8" s="10" t="str">
        <f aca="false">IF(SUMPRODUCT((Отпуска!$A$5:$A$17=$A8)*(Отпуска!$B$5:$B$17&lt;=DZ$5)*(Отпуска!$D$5:$D$17&gt;=DZ$5))&gt;0,"О","")</f>
        <v/>
      </c>
      <c r="EA8" s="10" t="str">
        <f aca="false">IF(SUMPRODUCT((Отпуска!$A$5:$A$17=$A8)*(Отпуска!$B$5:$B$17&lt;=EA$5)*(Отпуска!$D$5:$D$17&gt;=EA$5))&gt;0,"О","")</f>
        <v/>
      </c>
      <c r="EB8" s="10" t="str">
        <f aca="false">IF(SUMPRODUCT((Отпуска!$A$5:$A$17=$A8)*(Отпуска!$B$5:$B$17&lt;=EB$5)*(Отпуска!$D$5:$D$17&gt;=EB$5))&gt;0,"О","")</f>
        <v/>
      </c>
      <c r="EC8" s="10" t="str">
        <f aca="false">IF(SUMPRODUCT((Отпуска!$A$5:$A$17=$A8)*(Отпуска!$B$5:$B$17&lt;=EC$5)*(Отпуска!$D$5:$D$17&gt;=EC$5))&gt;0,"О","")</f>
        <v/>
      </c>
      <c r="ED8" s="10" t="str">
        <f aca="false">IF(SUMPRODUCT((Отпуска!$A$5:$A$17=$A8)*(Отпуска!$B$5:$B$17&lt;=ED$5)*(Отпуска!$D$5:$D$17&gt;=ED$5))&gt;0,"О","")</f>
        <v/>
      </c>
      <c r="EE8" s="10" t="str">
        <f aca="false">IF(SUMPRODUCT((Отпуска!$A$5:$A$17=$A8)*(Отпуска!$B$5:$B$17&lt;=EE$5)*(Отпуска!$D$5:$D$17&gt;=EE$5))&gt;0,"О","")</f>
        <v/>
      </c>
      <c r="EF8" s="10" t="str">
        <f aca="false">IF(SUMPRODUCT((Отпуска!$A$5:$A$17=$A8)*(Отпуска!$B$5:$B$17&lt;=EF$5)*(Отпуска!$D$5:$D$17&gt;=EF$5))&gt;0,"О","")</f>
        <v/>
      </c>
      <c r="EG8" s="10" t="str">
        <f aca="false">IF(SUMPRODUCT((Отпуска!$A$5:$A$17=$A8)*(Отпуска!$B$5:$B$17&lt;=EG$5)*(Отпуска!$D$5:$D$17&gt;=EG$5))&gt;0,"О","")</f>
        <v/>
      </c>
      <c r="EH8" s="10" t="str">
        <f aca="false">IF(SUMPRODUCT((Отпуска!$A$5:$A$17=$A8)*(Отпуска!$B$5:$B$17&lt;=EH$5)*(Отпуска!$D$5:$D$17&gt;=EH$5))&gt;0,"О","")</f>
        <v/>
      </c>
      <c r="EI8" s="10" t="str">
        <f aca="false">IF(SUMPRODUCT((Отпуска!$A$5:$A$17=$A8)*(Отпуска!$B$5:$B$17&lt;=EI$5)*(Отпуска!$D$5:$D$17&gt;=EI$5))&gt;0,"О","")</f>
        <v/>
      </c>
      <c r="EJ8" s="10" t="str">
        <f aca="false">IF(SUMPRODUCT((Отпуска!$A$5:$A$17=$A8)*(Отпуска!$B$5:$B$17&lt;=EJ$5)*(Отпуска!$D$5:$D$17&gt;=EJ$5))&gt;0,"О","")</f>
        <v/>
      </c>
      <c r="EK8" s="10" t="str">
        <f aca="false">IF(SUMPRODUCT((Отпуска!$A$5:$A$17=$A8)*(Отпуска!$B$5:$B$17&lt;=EK$5)*(Отпуска!$D$5:$D$17&gt;=EK$5))&gt;0,"О","")</f>
        <v/>
      </c>
      <c r="EL8" s="10" t="str">
        <f aca="false">IF(SUMPRODUCT((Отпуска!$A$5:$A$17=$A8)*(Отпуска!$B$5:$B$17&lt;=EL$5)*(Отпуска!$D$5:$D$17&gt;=EL$5))&gt;0,"О","")</f>
        <v/>
      </c>
      <c r="EM8" s="10" t="str">
        <f aca="false">IF(SUMPRODUCT((Отпуска!$A$5:$A$17=$A8)*(Отпуска!$B$5:$B$17&lt;=EM$5)*(Отпуска!$D$5:$D$17&gt;=EM$5))&gt;0,"О","")</f>
        <v/>
      </c>
      <c r="EN8" s="10" t="str">
        <f aca="false">IF(SUMPRODUCT((Отпуска!$A$5:$A$17=$A8)*(Отпуска!$B$5:$B$17&lt;=EN$5)*(Отпуска!$D$5:$D$17&gt;=EN$5))&gt;0,"О","")</f>
        <v/>
      </c>
      <c r="EO8" s="10" t="str">
        <f aca="false">IF(SUMPRODUCT((Отпуска!$A$5:$A$17=$A8)*(Отпуска!$B$5:$B$17&lt;=EO$5)*(Отпуска!$D$5:$D$17&gt;=EO$5))&gt;0,"О","")</f>
        <v/>
      </c>
      <c r="EP8" s="10" t="str">
        <f aca="false">IF(SUMPRODUCT((Отпуска!$A$5:$A$17=$A8)*(Отпуска!$B$5:$B$17&lt;=EP$5)*(Отпуска!$D$5:$D$17&gt;=EP$5))&gt;0,"О","")</f>
        <v/>
      </c>
      <c r="EQ8" s="10" t="str">
        <f aca="false">IF(SUMPRODUCT((Отпуска!$A$5:$A$17=$A8)*(Отпуска!$B$5:$B$17&lt;=EQ$5)*(Отпуска!$D$5:$D$17&gt;=EQ$5))&gt;0,"О","")</f>
        <v/>
      </c>
      <c r="ER8" s="10" t="str">
        <f aca="false">IF(SUMPRODUCT((Отпуска!$A$5:$A$17=$A8)*(Отпуска!$B$5:$B$17&lt;=ER$5)*(Отпуска!$D$5:$D$17&gt;=ER$5))&gt;0,"О","")</f>
        <v/>
      </c>
      <c r="ES8" s="10" t="str">
        <f aca="false">IF(SUMPRODUCT((Отпуска!$A$5:$A$17=$A8)*(Отпуска!$B$5:$B$17&lt;=ES$5)*(Отпуска!$D$5:$D$17&gt;=ES$5))&gt;0,"О","")</f>
        <v/>
      </c>
      <c r="ET8" s="10" t="str">
        <f aca="false">IF(SUMPRODUCT((Отпуска!$A$5:$A$17=$A8)*(Отпуска!$B$5:$B$17&lt;=ET$5)*(Отпуска!$D$5:$D$17&gt;=ET$5))&gt;0,"О","")</f>
        <v/>
      </c>
      <c r="EU8" s="10" t="str">
        <f aca="false">IF(SUMPRODUCT((Отпуска!$A$5:$A$17=$A8)*(Отпуска!$B$5:$B$17&lt;=EU$5)*(Отпуска!$D$5:$D$17&gt;=EU$5))&gt;0,"О","")</f>
        <v/>
      </c>
      <c r="EV8" s="10" t="str">
        <f aca="false">IF(SUMPRODUCT((Отпуска!$A$5:$A$17=$A8)*(Отпуска!$B$5:$B$17&lt;=EV$5)*(Отпуска!$D$5:$D$17&gt;=EV$5))&gt;0,"О","")</f>
        <v/>
      </c>
      <c r="EW8" s="10" t="str">
        <f aca="false">IF(SUMPRODUCT((Отпуска!$A$5:$A$17=$A8)*(Отпуска!$B$5:$B$17&lt;=EW$5)*(Отпуска!$D$5:$D$17&gt;=EW$5))&gt;0,"О","")</f>
        <v/>
      </c>
      <c r="EX8" s="10" t="str">
        <f aca="false">IF(SUMPRODUCT((Отпуска!$A$5:$A$17=$A8)*(Отпуска!$B$5:$B$17&lt;=EX$5)*(Отпуска!$D$5:$D$17&gt;=EX$5))&gt;0,"О","")</f>
        <v>О</v>
      </c>
      <c r="EY8" s="10" t="str">
        <f aca="false">IF(SUMPRODUCT((Отпуска!$A$5:$A$17=$A8)*(Отпуска!$B$5:$B$17&lt;=EY$5)*(Отпуска!$D$5:$D$17&gt;=EY$5))&gt;0,"О","")</f>
        <v>О</v>
      </c>
      <c r="EZ8" s="10" t="str">
        <f aca="false">IF(SUMPRODUCT((Отпуска!$A$5:$A$17=$A8)*(Отпуска!$B$5:$B$17&lt;=EZ$5)*(Отпуска!$D$5:$D$17&gt;=EZ$5))&gt;0,"О","")</f>
        <v>О</v>
      </c>
      <c r="FA8" s="10" t="str">
        <f aca="false">IF(SUMPRODUCT((Отпуска!$A$5:$A$17=$A8)*(Отпуска!$B$5:$B$17&lt;=FA$5)*(Отпуска!$D$5:$D$17&gt;=FA$5))&gt;0,"О","")</f>
        <v>О</v>
      </c>
      <c r="FB8" s="10" t="str">
        <f aca="false">IF(SUMPRODUCT((Отпуска!$A$5:$A$17=$A8)*(Отпуска!$B$5:$B$17&lt;=FB$5)*(Отпуска!$D$5:$D$17&gt;=FB$5))&gt;0,"О","")</f>
        <v>О</v>
      </c>
      <c r="FC8" s="10" t="str">
        <f aca="false">IF(SUMPRODUCT((Отпуска!$A$5:$A$17=$A8)*(Отпуска!$B$5:$B$17&lt;=FC$5)*(Отпуска!$D$5:$D$17&gt;=FC$5))&gt;0,"О","")</f>
        <v>О</v>
      </c>
      <c r="FD8" s="10" t="str">
        <f aca="false">IF(SUMPRODUCT((Отпуска!$A$5:$A$17=$A8)*(Отпуска!$B$5:$B$17&lt;=FD$5)*(Отпуска!$D$5:$D$17&gt;=FD$5))&gt;0,"О","")</f>
        <v>О</v>
      </c>
      <c r="FE8" s="10" t="str">
        <f aca="false">IF(SUMPRODUCT((Отпуска!$A$5:$A$17=$A8)*(Отпуска!$B$5:$B$17&lt;=FE$5)*(Отпуска!$D$5:$D$17&gt;=FE$5))&gt;0,"О","")</f>
        <v>О</v>
      </c>
      <c r="FF8" s="10" t="str">
        <f aca="false">IF(SUMPRODUCT((Отпуска!$A$5:$A$17=$A8)*(Отпуска!$B$5:$B$17&lt;=FF$5)*(Отпуска!$D$5:$D$17&gt;=FF$5))&gt;0,"О","")</f>
        <v>О</v>
      </c>
      <c r="FG8" s="10" t="str">
        <f aca="false">IF(SUMPRODUCT((Отпуска!$A$5:$A$17=$A8)*(Отпуска!$B$5:$B$17&lt;=FG$5)*(Отпуска!$D$5:$D$17&gt;=FG$5))&gt;0,"О","")</f>
        <v>О</v>
      </c>
      <c r="FH8" s="10" t="str">
        <f aca="false">IF(SUMPRODUCT((Отпуска!$A$5:$A$17=$A8)*(Отпуска!$B$5:$B$17&lt;=FH$5)*(Отпуска!$D$5:$D$17&gt;=FH$5))&gt;0,"О","")</f>
        <v>О</v>
      </c>
      <c r="FI8" s="10" t="str">
        <f aca="false">IF(SUMPRODUCT((Отпуска!$A$5:$A$17=$A8)*(Отпуска!$B$5:$B$17&lt;=FI$5)*(Отпуска!$D$5:$D$17&gt;=FI$5))&gt;0,"О","")</f>
        <v>О</v>
      </c>
      <c r="FJ8" s="10" t="str">
        <f aca="false">IF(SUMPRODUCT((Отпуска!$A$5:$A$17=$A8)*(Отпуска!$B$5:$B$17&lt;=FJ$5)*(Отпуска!$D$5:$D$17&gt;=FJ$5))&gt;0,"О","")</f>
        <v>О</v>
      </c>
      <c r="FK8" s="10" t="str">
        <f aca="false">IF(SUMPRODUCT((Отпуска!$A$5:$A$17=$A8)*(Отпуска!$B$5:$B$17&lt;=FK$5)*(Отпуска!$D$5:$D$17&gt;=FK$5))&gt;0,"О","")</f>
        <v>О</v>
      </c>
      <c r="FL8" s="10" t="str">
        <f aca="false">IF(SUMPRODUCT((Отпуска!$A$5:$A$17=$A8)*(Отпуска!$B$5:$B$17&lt;=FL$5)*(Отпуска!$D$5:$D$17&gt;=FL$5))&gt;0,"О","")</f>
        <v>О</v>
      </c>
      <c r="FM8" s="10" t="str">
        <f aca="false">IF(SUMPRODUCT((Отпуска!$A$5:$A$17=$A8)*(Отпуска!$B$5:$B$17&lt;=FM$5)*(Отпуска!$D$5:$D$17&gt;=FM$5))&gt;0,"О","")</f>
        <v>О</v>
      </c>
      <c r="FN8" s="10" t="str">
        <f aca="false">IF(SUMPRODUCT((Отпуска!$A$5:$A$17=$A8)*(Отпуска!$B$5:$B$17&lt;=FN$5)*(Отпуска!$D$5:$D$17&gt;=FN$5))&gt;0,"О","")</f>
        <v>О</v>
      </c>
      <c r="FO8" s="10" t="str">
        <f aca="false">IF(SUMPRODUCT((Отпуска!$A$5:$A$17=$A8)*(Отпуска!$B$5:$B$17&lt;=FO$5)*(Отпуска!$D$5:$D$17&gt;=FO$5))&gt;0,"О","")</f>
        <v>О</v>
      </c>
      <c r="FP8" s="10" t="str">
        <f aca="false">IF(SUMPRODUCT((Отпуска!$A$5:$A$17=$A8)*(Отпуска!$B$5:$B$17&lt;=FP$5)*(Отпуска!$D$5:$D$17&gt;=FP$5))&gt;0,"О","")</f>
        <v>О</v>
      </c>
      <c r="FQ8" s="10" t="str">
        <f aca="false">IF(SUMPRODUCT((Отпуска!$A$5:$A$17=$A8)*(Отпуска!$B$5:$B$17&lt;=FQ$5)*(Отпуска!$D$5:$D$17&gt;=FQ$5))&gt;0,"О","")</f>
        <v>О</v>
      </c>
      <c r="FR8" s="10" t="str">
        <f aca="false">IF(SUMPRODUCT((Отпуска!$A$5:$A$17=$A8)*(Отпуска!$B$5:$B$17&lt;=FR$5)*(Отпуска!$D$5:$D$17&gt;=FR$5))&gt;0,"О","")</f>
        <v>О</v>
      </c>
      <c r="FS8" s="10" t="str">
        <f aca="false">IF(SUMPRODUCT((Отпуска!$A$5:$A$17=$A8)*(Отпуска!$B$5:$B$17&lt;=FS$5)*(Отпуска!$D$5:$D$17&gt;=FS$5))&gt;0,"О","")</f>
        <v>О</v>
      </c>
      <c r="FT8" s="10" t="str">
        <f aca="false">IF(SUMPRODUCT((Отпуска!$A$5:$A$17=$A8)*(Отпуска!$B$5:$B$17&lt;=FT$5)*(Отпуска!$D$5:$D$17&gt;=FT$5))&gt;0,"О","")</f>
        <v>О</v>
      </c>
      <c r="FU8" s="10" t="str">
        <f aca="false">IF(SUMPRODUCT((Отпуска!$A$5:$A$17=$A8)*(Отпуска!$B$5:$B$17&lt;=FU$5)*(Отпуска!$D$5:$D$17&gt;=FU$5))&gt;0,"О","")</f>
        <v>О</v>
      </c>
      <c r="FV8" s="10" t="str">
        <f aca="false">IF(SUMPRODUCT((Отпуска!$A$5:$A$17=$A8)*(Отпуска!$B$5:$B$17&lt;=FV$5)*(Отпуска!$D$5:$D$17&gt;=FV$5))&gt;0,"О","")</f>
        <v>О</v>
      </c>
      <c r="FW8" s="10" t="str">
        <f aca="false">IF(SUMPRODUCT((Отпуска!$A$5:$A$17=$A8)*(Отпуска!$B$5:$B$17&lt;=FW$5)*(Отпуска!$D$5:$D$17&gt;=FW$5))&gt;0,"О","")</f>
        <v>О</v>
      </c>
      <c r="FX8" s="10" t="str">
        <f aca="false">IF(SUMPRODUCT((Отпуска!$A$5:$A$17=$A8)*(Отпуска!$B$5:$B$17&lt;=FX$5)*(Отпуска!$D$5:$D$17&gt;=FX$5))&gt;0,"О","")</f>
        <v>О</v>
      </c>
      <c r="FY8" s="10" t="str">
        <f aca="false">IF(SUMPRODUCT((Отпуска!$A$5:$A$17=$A8)*(Отпуска!$B$5:$B$17&lt;=FY$5)*(Отпуска!$D$5:$D$17&gt;=FY$5))&gt;0,"О","")</f>
        <v>О</v>
      </c>
      <c r="FZ8" s="10" t="str">
        <f aca="false">IF(SUMPRODUCT((Отпуска!$A$5:$A$17=$A8)*(Отпуска!$B$5:$B$17&lt;=FZ$5)*(Отпуска!$D$5:$D$17&gt;=FZ$5))&gt;0,"О","")</f>
        <v>О</v>
      </c>
      <c r="GA8" s="10" t="str">
        <f aca="false">IF(SUMPRODUCT((Отпуска!$A$5:$A$17=$A8)*(Отпуска!$B$5:$B$17&lt;=GA$5)*(Отпуска!$D$5:$D$17&gt;=GA$5))&gt;0,"О","")</f>
        <v>О</v>
      </c>
      <c r="GB8" s="10" t="str">
        <f aca="false">IF(SUMPRODUCT((Отпуска!$A$5:$A$17=$A8)*(Отпуска!$B$5:$B$17&lt;=GB$5)*(Отпуска!$D$5:$D$17&gt;=GB$5))&gt;0,"О","")</f>
        <v>О</v>
      </c>
      <c r="GC8" s="10" t="str">
        <f aca="false">IF(SUMPRODUCT((Отпуска!$A$5:$A$17=$A8)*(Отпуска!$B$5:$B$17&lt;=GC$5)*(Отпуска!$D$5:$D$17&gt;=GC$5))&gt;0,"О","")</f>
        <v>О</v>
      </c>
      <c r="GD8" s="10" t="str">
        <f aca="false">IF(SUMPRODUCT((Отпуска!$A$5:$A$17=$A8)*(Отпуска!$B$5:$B$17&lt;=GD$5)*(Отпуска!$D$5:$D$17&gt;=GD$5))&gt;0,"О","")</f>
        <v>О</v>
      </c>
      <c r="GE8" s="10" t="str">
        <f aca="false">IF(SUMPRODUCT((Отпуска!$A$5:$A$17=$A8)*(Отпуска!$B$5:$B$17&lt;=GE$5)*(Отпуска!$D$5:$D$17&gt;=GE$5))&gt;0,"О","")</f>
        <v>О</v>
      </c>
      <c r="GF8" s="10" t="str">
        <f aca="false">IF(SUMPRODUCT((Отпуска!$A$5:$A$17=$A8)*(Отпуска!$B$5:$B$17&lt;=GF$5)*(Отпуска!$D$5:$D$17&gt;=GF$5))&gt;0,"О","")</f>
        <v/>
      </c>
      <c r="GG8" s="10" t="str">
        <f aca="false">IF(SUMPRODUCT((Отпуска!$A$5:$A$17=$A8)*(Отпуска!$B$5:$B$17&lt;=GG$5)*(Отпуска!$D$5:$D$17&gt;=GG$5))&gt;0,"О","")</f>
        <v/>
      </c>
      <c r="GH8" s="10" t="str">
        <f aca="false">IF(SUMPRODUCT((Отпуска!$A$5:$A$17=$A8)*(Отпуска!$B$5:$B$17&lt;=GH$5)*(Отпуска!$D$5:$D$17&gt;=GH$5))&gt;0,"О","")</f>
        <v/>
      </c>
      <c r="GI8" s="10" t="str">
        <f aca="false">IF(SUMPRODUCT((Отпуска!$A$5:$A$17=$A8)*(Отпуска!$B$5:$B$17&lt;=GI$5)*(Отпуска!$D$5:$D$17&gt;=GI$5))&gt;0,"О","")</f>
        <v/>
      </c>
      <c r="GJ8" s="10" t="str">
        <f aca="false">IF(SUMPRODUCT((Отпуска!$A$5:$A$17=$A8)*(Отпуска!$B$5:$B$17&lt;=GJ$5)*(Отпуска!$D$5:$D$17&gt;=GJ$5))&gt;0,"О","")</f>
        <v/>
      </c>
      <c r="GK8" s="10" t="str">
        <f aca="false">IF(SUMPRODUCT((Отпуска!$A$5:$A$17=$A8)*(Отпуска!$B$5:$B$17&lt;=GK$5)*(Отпуска!$D$5:$D$17&gt;=GK$5))&gt;0,"О","")</f>
        <v/>
      </c>
      <c r="GL8" s="10" t="str">
        <f aca="false">IF(SUMPRODUCT((Отпуска!$A$5:$A$17=$A8)*(Отпуска!$B$5:$B$17&lt;=GL$5)*(Отпуска!$D$5:$D$17&gt;=GL$5))&gt;0,"О","")</f>
        <v/>
      </c>
      <c r="GM8" s="10" t="str">
        <f aca="false">IF(SUMPRODUCT((Отпуска!$A$5:$A$17=$A8)*(Отпуска!$B$5:$B$17&lt;=GM$5)*(Отпуска!$D$5:$D$17&gt;=GM$5))&gt;0,"О","")</f>
        <v/>
      </c>
      <c r="GN8" s="10" t="str">
        <f aca="false">IF(SUMPRODUCT((Отпуска!$A$5:$A$17=$A8)*(Отпуска!$B$5:$B$17&lt;=GN$5)*(Отпуска!$D$5:$D$17&gt;=GN$5))&gt;0,"О","")</f>
        <v/>
      </c>
      <c r="GO8" s="10" t="str">
        <f aca="false">IF(SUMPRODUCT((Отпуска!$A$5:$A$17=$A8)*(Отпуска!$B$5:$B$17&lt;=GO$5)*(Отпуска!$D$5:$D$17&gt;=GO$5))&gt;0,"О","")</f>
        <v/>
      </c>
      <c r="GP8" s="10" t="str">
        <f aca="false">IF(SUMPRODUCT((Отпуска!$A$5:$A$17=$A8)*(Отпуска!$B$5:$B$17&lt;=GP$5)*(Отпуска!$D$5:$D$17&gt;=GP$5))&gt;0,"О","")</f>
        <v/>
      </c>
      <c r="GQ8" s="10" t="str">
        <f aca="false">IF(SUMPRODUCT((Отпуска!$A$5:$A$17=$A8)*(Отпуска!$B$5:$B$17&lt;=GQ$5)*(Отпуска!$D$5:$D$17&gt;=GQ$5))&gt;0,"О","")</f>
        <v/>
      </c>
      <c r="GR8" s="10" t="str">
        <f aca="false">IF(SUMPRODUCT((Отпуска!$A$5:$A$17=$A8)*(Отпуска!$B$5:$B$17&lt;=GR$5)*(Отпуска!$D$5:$D$17&gt;=GR$5))&gt;0,"О","")</f>
        <v/>
      </c>
      <c r="GS8" s="10" t="str">
        <f aca="false">IF(SUMPRODUCT((Отпуска!$A$5:$A$17=$A8)*(Отпуска!$B$5:$B$17&lt;=GS$5)*(Отпуска!$D$5:$D$17&gt;=GS$5))&gt;0,"О","")</f>
        <v/>
      </c>
      <c r="GT8" s="10" t="str">
        <f aca="false">IF(SUMPRODUCT((Отпуска!$A$5:$A$17=$A8)*(Отпуска!$B$5:$B$17&lt;=GT$5)*(Отпуска!$D$5:$D$17&gt;=GT$5))&gt;0,"О","")</f>
        <v/>
      </c>
      <c r="GU8" s="10" t="str">
        <f aca="false">IF(SUMPRODUCT((Отпуска!$A$5:$A$17=$A8)*(Отпуска!$B$5:$B$17&lt;=GU$5)*(Отпуска!$D$5:$D$17&gt;=GU$5))&gt;0,"О","")</f>
        <v/>
      </c>
      <c r="GV8" s="10" t="str">
        <f aca="false">IF(SUMPRODUCT((Отпуска!$A$5:$A$17=$A8)*(Отпуска!$B$5:$B$17&lt;=GV$5)*(Отпуска!$D$5:$D$17&gt;=GV$5))&gt;0,"О","")</f>
        <v/>
      </c>
      <c r="GW8" s="10" t="str">
        <f aca="false">IF(SUMPRODUCT((Отпуска!$A$5:$A$17=$A8)*(Отпуска!$B$5:$B$17&lt;=GW$5)*(Отпуска!$D$5:$D$17&gt;=GW$5))&gt;0,"О","")</f>
        <v/>
      </c>
      <c r="GX8" s="10" t="str">
        <f aca="false">IF(SUMPRODUCT((Отпуска!$A$5:$A$17=$A8)*(Отпуска!$B$5:$B$17&lt;=GX$5)*(Отпуска!$D$5:$D$17&gt;=GX$5))&gt;0,"О","")</f>
        <v/>
      </c>
      <c r="GY8" s="10" t="str">
        <f aca="false">IF(SUMPRODUCT((Отпуска!$A$5:$A$17=$A8)*(Отпуска!$B$5:$B$17&lt;=GY$5)*(Отпуска!$D$5:$D$17&gt;=GY$5))&gt;0,"О","")</f>
        <v/>
      </c>
      <c r="GZ8" s="10" t="str">
        <f aca="false">IF(SUMPRODUCT((Отпуска!$A$5:$A$17=$A8)*(Отпуска!$B$5:$B$17&lt;=GZ$5)*(Отпуска!$D$5:$D$17&gt;=GZ$5))&gt;0,"О","")</f>
        <v/>
      </c>
      <c r="HA8" s="10" t="str">
        <f aca="false">IF(SUMPRODUCT((Отпуска!$A$5:$A$17=$A8)*(Отпуска!$B$5:$B$17&lt;=HA$5)*(Отпуска!$D$5:$D$17&gt;=HA$5))&gt;0,"О","")</f>
        <v/>
      </c>
      <c r="HB8" s="10" t="str">
        <f aca="false">IF(SUMPRODUCT((Отпуска!$A$5:$A$17=$A8)*(Отпуска!$B$5:$B$17&lt;=HB$5)*(Отпуска!$D$5:$D$17&gt;=HB$5))&gt;0,"О","")</f>
        <v/>
      </c>
      <c r="HC8" s="10" t="str">
        <f aca="false">IF(SUMPRODUCT((Отпуска!$A$5:$A$17=$A8)*(Отпуска!$B$5:$B$17&lt;=HC$5)*(Отпуска!$D$5:$D$17&gt;=HC$5))&gt;0,"О","")</f>
        <v/>
      </c>
      <c r="HD8" s="10" t="str">
        <f aca="false">IF(SUMPRODUCT((Отпуска!$A$5:$A$17=$A8)*(Отпуска!$B$5:$B$17&lt;=HD$5)*(Отпуска!$D$5:$D$17&gt;=HD$5))&gt;0,"О","")</f>
        <v/>
      </c>
      <c r="HE8" s="10" t="str">
        <f aca="false">IF(SUMPRODUCT((Отпуска!$A$5:$A$17=$A8)*(Отпуска!$B$5:$B$17&lt;=HE$5)*(Отпуска!$D$5:$D$17&gt;=HE$5))&gt;0,"О","")</f>
        <v/>
      </c>
      <c r="HF8" s="10" t="str">
        <f aca="false">IF(SUMPRODUCT((Отпуска!$A$5:$A$17=$A8)*(Отпуска!$B$5:$B$17&lt;=HF$5)*(Отпуска!$D$5:$D$17&gt;=HF$5))&gt;0,"О","")</f>
        <v/>
      </c>
      <c r="HG8" s="10" t="str">
        <f aca="false">IF(SUMPRODUCT((Отпуска!$A$5:$A$17=$A8)*(Отпуска!$B$5:$B$17&lt;=HG$5)*(Отпуска!$D$5:$D$17&gt;=HG$5))&gt;0,"О","")</f>
        <v/>
      </c>
      <c r="HH8" s="10" t="str">
        <f aca="false">IF(SUMPRODUCT((Отпуска!$A$5:$A$17=$A8)*(Отпуска!$B$5:$B$17&lt;=HH$5)*(Отпуска!$D$5:$D$17&gt;=HH$5))&gt;0,"О","")</f>
        <v/>
      </c>
      <c r="HI8" s="10" t="str">
        <f aca="false">IF(SUMPRODUCT((Отпуска!$A$5:$A$17=$A8)*(Отпуска!$B$5:$B$17&lt;=HI$5)*(Отпуска!$D$5:$D$17&gt;=HI$5))&gt;0,"О","")</f>
        <v/>
      </c>
      <c r="HJ8" s="10" t="str">
        <f aca="false">IF(SUMPRODUCT((Отпуска!$A$5:$A$17=$A8)*(Отпуска!$B$5:$B$17&lt;=HJ$5)*(Отпуска!$D$5:$D$17&gt;=HJ$5))&gt;0,"О","")</f>
        <v/>
      </c>
      <c r="HK8" s="10" t="str">
        <f aca="false">IF(SUMPRODUCT((Отпуска!$A$5:$A$17=$A8)*(Отпуска!$B$5:$B$17&lt;=HK$5)*(Отпуска!$D$5:$D$17&gt;=HK$5))&gt;0,"О","")</f>
        <v/>
      </c>
      <c r="HL8" s="10" t="str">
        <f aca="false">IF(SUMPRODUCT((Отпуска!$A$5:$A$17=$A8)*(Отпуска!$B$5:$B$17&lt;=HL$5)*(Отпуска!$D$5:$D$17&gt;=HL$5))&gt;0,"О","")</f>
        <v/>
      </c>
      <c r="HM8" s="10" t="str">
        <f aca="false">IF(SUMPRODUCT((Отпуска!$A$5:$A$17=$A8)*(Отпуска!$B$5:$B$17&lt;=HM$5)*(Отпуска!$D$5:$D$17&gt;=HM$5))&gt;0,"О","")</f>
        <v/>
      </c>
      <c r="HN8" s="10" t="str">
        <f aca="false">IF(SUMPRODUCT((Отпуска!$A$5:$A$17=$A8)*(Отпуска!$B$5:$B$17&lt;=HN$5)*(Отпуска!$D$5:$D$17&gt;=HN$5))&gt;0,"О","")</f>
        <v/>
      </c>
      <c r="HO8" s="10" t="str">
        <f aca="false">IF(SUMPRODUCT((Отпуска!$A$5:$A$17=$A8)*(Отпуска!$B$5:$B$17&lt;=HO$5)*(Отпуска!$D$5:$D$17&gt;=HO$5))&gt;0,"О","")</f>
        <v/>
      </c>
      <c r="HP8" s="10" t="str">
        <f aca="false">IF(SUMPRODUCT((Отпуска!$A$5:$A$17=$A8)*(Отпуска!$B$5:$B$17&lt;=HP$5)*(Отпуска!$D$5:$D$17&gt;=HP$5))&gt;0,"О","")</f>
        <v/>
      </c>
      <c r="HQ8" s="10" t="str">
        <f aca="false">IF(SUMPRODUCT((Отпуска!$A$5:$A$17=$A8)*(Отпуска!$B$5:$B$17&lt;=HQ$5)*(Отпуска!$D$5:$D$17&gt;=HQ$5))&gt;0,"О","")</f>
        <v/>
      </c>
      <c r="HR8" s="10" t="str">
        <f aca="false">IF(SUMPRODUCT((Отпуска!$A$5:$A$17=$A8)*(Отпуска!$B$5:$B$17&lt;=HR$5)*(Отпуска!$D$5:$D$17&gt;=HR$5))&gt;0,"О","")</f>
        <v/>
      </c>
      <c r="HS8" s="10" t="str">
        <f aca="false">IF(SUMPRODUCT((Отпуска!$A$5:$A$17=$A8)*(Отпуска!$B$5:$B$17&lt;=HS$5)*(Отпуска!$D$5:$D$17&gt;=HS$5))&gt;0,"О","")</f>
        <v/>
      </c>
      <c r="HT8" s="10" t="str">
        <f aca="false">IF(SUMPRODUCT((Отпуска!$A$5:$A$17=$A8)*(Отпуска!$B$5:$B$17&lt;=HT$5)*(Отпуска!$D$5:$D$17&gt;=HT$5))&gt;0,"О","")</f>
        <v/>
      </c>
      <c r="HU8" s="10" t="str">
        <f aca="false">IF(SUMPRODUCT((Отпуска!$A$5:$A$17=$A8)*(Отпуска!$B$5:$B$17&lt;=HU$5)*(Отпуска!$D$5:$D$17&gt;=HU$5))&gt;0,"О","")</f>
        <v/>
      </c>
      <c r="HV8" s="10" t="str">
        <f aca="false">IF(SUMPRODUCT((Отпуска!$A$5:$A$17=$A8)*(Отпуска!$B$5:$B$17&lt;=HV$5)*(Отпуска!$D$5:$D$17&gt;=HV$5))&gt;0,"О","")</f>
        <v/>
      </c>
      <c r="HW8" s="10" t="str">
        <f aca="false">IF(SUMPRODUCT((Отпуска!$A$5:$A$17=$A8)*(Отпуска!$B$5:$B$17&lt;=HW$5)*(Отпуска!$D$5:$D$17&gt;=HW$5))&gt;0,"О","")</f>
        <v/>
      </c>
      <c r="HX8" s="10" t="str">
        <f aca="false">IF(SUMPRODUCT((Отпуска!$A$5:$A$17=$A8)*(Отпуска!$B$5:$B$17&lt;=HX$5)*(Отпуска!$D$5:$D$17&gt;=HX$5))&gt;0,"О","")</f>
        <v/>
      </c>
      <c r="HY8" s="10" t="str">
        <f aca="false">IF(SUMPRODUCT((Отпуска!$A$5:$A$17=$A8)*(Отпуска!$B$5:$B$17&lt;=HY$5)*(Отпуска!$D$5:$D$17&gt;=HY$5))&gt;0,"О","")</f>
        <v/>
      </c>
      <c r="HZ8" s="10" t="str">
        <f aca="false">IF(SUMPRODUCT((Отпуска!$A$5:$A$17=$A8)*(Отпуска!$B$5:$B$17&lt;=HZ$5)*(Отпуска!$D$5:$D$17&gt;=HZ$5))&gt;0,"О","")</f>
        <v/>
      </c>
      <c r="IA8" s="10" t="str">
        <f aca="false">IF(SUMPRODUCT((Отпуска!$A$5:$A$17=$A8)*(Отпуска!$B$5:$B$17&lt;=IA$5)*(Отпуска!$D$5:$D$17&gt;=IA$5))&gt;0,"О","")</f>
        <v/>
      </c>
      <c r="IB8" s="10" t="str">
        <f aca="false">IF(SUMPRODUCT((Отпуска!$A$5:$A$17=$A8)*(Отпуска!$B$5:$B$17&lt;=IB$5)*(Отпуска!$D$5:$D$17&gt;=IB$5))&gt;0,"О","")</f>
        <v/>
      </c>
      <c r="IC8" s="10" t="str">
        <f aca="false">IF(SUMPRODUCT((Отпуска!$A$5:$A$17=$A8)*(Отпуска!$B$5:$B$17&lt;=IC$5)*(Отпуска!$D$5:$D$17&gt;=IC$5))&gt;0,"О","")</f>
        <v/>
      </c>
      <c r="ID8" s="10" t="str">
        <f aca="false">IF(SUMPRODUCT((Отпуска!$A$5:$A$17=$A8)*(Отпуска!$B$5:$B$17&lt;=ID$5)*(Отпуска!$D$5:$D$17&gt;=ID$5))&gt;0,"О","")</f>
        <v/>
      </c>
      <c r="IE8" s="10" t="str">
        <f aca="false">IF(SUMPRODUCT((Отпуска!$A$5:$A$17=$A8)*(Отпуска!$B$5:$B$17&lt;=IE$5)*(Отпуска!$D$5:$D$17&gt;=IE$5))&gt;0,"О","")</f>
        <v/>
      </c>
      <c r="IF8" s="10" t="str">
        <f aca="false">IF(SUMPRODUCT((Отпуска!$A$5:$A$17=$A8)*(Отпуска!$B$5:$B$17&lt;=IF$5)*(Отпуска!$D$5:$D$17&gt;=IF$5))&gt;0,"О","")</f>
        <v/>
      </c>
      <c r="IG8" s="10" t="str">
        <f aca="false">IF(SUMPRODUCT((Отпуска!$A$5:$A$17=$A8)*(Отпуска!$B$5:$B$17&lt;=IG$5)*(Отпуска!$D$5:$D$17&gt;=IG$5))&gt;0,"О","")</f>
        <v/>
      </c>
      <c r="IH8" s="10" t="str">
        <f aca="false">IF(SUMPRODUCT((Отпуска!$A$5:$A$17=$A8)*(Отпуска!$B$5:$B$17&lt;=IH$5)*(Отпуска!$D$5:$D$17&gt;=IH$5))&gt;0,"О","")</f>
        <v/>
      </c>
      <c r="II8" s="10" t="str">
        <f aca="false">IF(SUMPRODUCT((Отпуска!$A$5:$A$17=$A8)*(Отпуска!$B$5:$B$17&lt;=II$5)*(Отпуска!$D$5:$D$17&gt;=II$5))&gt;0,"О","")</f>
        <v/>
      </c>
      <c r="IJ8" s="10" t="str">
        <f aca="false">IF(SUMPRODUCT((Отпуска!$A$5:$A$17=$A8)*(Отпуска!$B$5:$B$17&lt;=IJ$5)*(Отпуска!$D$5:$D$17&gt;=IJ$5))&gt;0,"О","")</f>
        <v/>
      </c>
      <c r="IK8" s="10" t="str">
        <f aca="false">IF(SUMPRODUCT((Отпуска!$A$5:$A$17=$A8)*(Отпуска!$B$5:$B$17&lt;=IK$5)*(Отпуска!$D$5:$D$17&gt;=IK$5))&gt;0,"О","")</f>
        <v/>
      </c>
      <c r="IL8" s="10" t="str">
        <f aca="false">IF(SUMPRODUCT((Отпуска!$A$5:$A$17=$A8)*(Отпуска!$B$5:$B$17&lt;=IL$5)*(Отпуска!$D$5:$D$17&gt;=IL$5))&gt;0,"О","")</f>
        <v/>
      </c>
      <c r="IM8" s="10" t="str">
        <f aca="false">IF(SUMPRODUCT((Отпуска!$A$5:$A$17=$A8)*(Отпуска!$B$5:$B$17&lt;=IM$5)*(Отпуска!$D$5:$D$17&gt;=IM$5))&gt;0,"О","")</f>
        <v/>
      </c>
      <c r="IN8" s="10" t="str">
        <f aca="false">IF(SUMPRODUCT((Отпуска!$A$5:$A$17=$A8)*(Отпуска!$B$5:$B$17&lt;=IN$5)*(Отпуска!$D$5:$D$17&gt;=IN$5))&gt;0,"О","")</f>
        <v/>
      </c>
      <c r="IO8" s="10" t="str">
        <f aca="false">IF(SUMPRODUCT((Отпуска!$A$5:$A$17=$A8)*(Отпуска!$B$5:$B$17&lt;=IO$5)*(Отпуска!$D$5:$D$17&gt;=IO$5))&gt;0,"О","")</f>
        <v/>
      </c>
      <c r="IP8" s="10" t="str">
        <f aca="false">IF(SUMPRODUCT((Отпуска!$A$5:$A$17=$A8)*(Отпуска!$B$5:$B$17&lt;=IP$5)*(Отпуска!$D$5:$D$17&gt;=IP$5))&gt;0,"О","")</f>
        <v/>
      </c>
      <c r="IQ8" s="10" t="str">
        <f aca="false">IF(SUMPRODUCT((Отпуска!$A$5:$A$17=$A8)*(Отпуска!$B$5:$B$17&lt;=IQ$5)*(Отпуска!$D$5:$D$17&gt;=IQ$5))&gt;0,"О","")</f>
        <v/>
      </c>
      <c r="IR8" s="10" t="str">
        <f aca="false">IF(SUMPRODUCT((Отпуска!$A$5:$A$17=$A8)*(Отпуска!$B$5:$B$17&lt;=IR$5)*(Отпуска!$D$5:$D$17&gt;=IR$5))&gt;0,"О","")</f>
        <v/>
      </c>
      <c r="IS8" s="10" t="str">
        <f aca="false">IF(SUMPRODUCT((Отпуска!$A$5:$A$17=$A8)*(Отпуска!$B$5:$B$17&lt;=IS$5)*(Отпуска!$D$5:$D$17&gt;=IS$5))&gt;0,"О","")</f>
        <v/>
      </c>
      <c r="IT8" s="10" t="str">
        <f aca="false">IF(SUMPRODUCT((Отпуска!$A$5:$A$17=$A8)*(Отпуска!$B$5:$B$17&lt;=IT$5)*(Отпуска!$D$5:$D$17&gt;=IT$5))&gt;0,"О","")</f>
        <v/>
      </c>
      <c r="IU8" s="10" t="str">
        <f aca="false">IF(SUMPRODUCT((Отпуска!$A$5:$A$17=$A8)*(Отпуска!$B$5:$B$17&lt;=IU$5)*(Отпуска!$D$5:$D$17&gt;=IU$5))&gt;0,"О","")</f>
        <v/>
      </c>
      <c r="IV8" s="10" t="str">
        <f aca="false">IF(SUMPRODUCT((Отпуска!$A$5:$A$17=$A8)*(Отпуска!$B$5:$B$17&lt;=IV$5)*(Отпуска!$D$5:$D$17&gt;=IV$5))&gt;0,"О","")</f>
        <v/>
      </c>
      <c r="IW8" s="10" t="str">
        <f aca="false">IF(SUMPRODUCT((Отпуска!$A$5:$A$17=$A8)*(Отпуска!$B$5:$B$17&lt;=IW$5)*(Отпуска!$D$5:$D$17&gt;=IW$5))&gt;0,"О","")</f>
        <v/>
      </c>
      <c r="IX8" s="10" t="str">
        <f aca="false">IF(SUMPRODUCT((Отпуска!$A$5:$A$17=$A8)*(Отпуска!$B$5:$B$17&lt;=IX$5)*(Отпуска!$D$5:$D$17&gt;=IX$5))&gt;0,"О","")</f>
        <v/>
      </c>
      <c r="IY8" s="10" t="str">
        <f aca="false">IF(SUMPRODUCT((Отпуска!$A$5:$A$17=$A8)*(Отпуска!$B$5:$B$17&lt;=IY$5)*(Отпуска!$D$5:$D$17&gt;=IY$5))&gt;0,"О","")</f>
        <v/>
      </c>
      <c r="IZ8" s="10" t="str">
        <f aca="false">IF(SUMPRODUCT((Отпуска!$A$5:$A$17=$A8)*(Отпуска!$B$5:$B$17&lt;=IZ$5)*(Отпуска!$D$5:$D$17&gt;=IZ$5))&gt;0,"О","")</f>
        <v/>
      </c>
      <c r="JA8" s="10" t="str">
        <f aca="false">IF(SUMPRODUCT((Отпуска!$A$5:$A$17=$A8)*(Отпуска!$B$5:$B$17&lt;=JA$5)*(Отпуска!$D$5:$D$17&gt;=JA$5))&gt;0,"О","")</f>
        <v/>
      </c>
      <c r="JB8" s="10" t="str">
        <f aca="false">IF(SUMPRODUCT((Отпуска!$A$5:$A$17=$A8)*(Отпуска!$B$5:$B$17&lt;=JB$5)*(Отпуска!$D$5:$D$17&gt;=JB$5))&gt;0,"О","")</f>
        <v/>
      </c>
      <c r="JC8" s="10" t="str">
        <f aca="false">IF(SUMPRODUCT((Отпуска!$A$5:$A$17=$A8)*(Отпуска!$B$5:$B$17&lt;=JC$5)*(Отпуска!$D$5:$D$17&gt;=JC$5))&gt;0,"О","")</f>
        <v/>
      </c>
      <c r="JD8" s="10" t="str">
        <f aca="false">IF(SUMPRODUCT((Отпуска!$A$5:$A$17=$A8)*(Отпуска!$B$5:$B$17&lt;=JD$5)*(Отпуска!$D$5:$D$17&gt;=JD$5))&gt;0,"О","")</f>
        <v/>
      </c>
      <c r="JE8" s="10" t="str">
        <f aca="false">IF(SUMPRODUCT((Отпуска!$A$5:$A$17=$A8)*(Отпуска!$B$5:$B$17&lt;=JE$5)*(Отпуска!$D$5:$D$17&gt;=JE$5))&gt;0,"О","")</f>
        <v/>
      </c>
      <c r="JF8" s="10" t="str">
        <f aca="false">IF(SUMPRODUCT((Отпуска!$A$5:$A$17=$A8)*(Отпуска!$B$5:$B$17&lt;=JF$5)*(Отпуска!$D$5:$D$17&gt;=JF$5))&gt;0,"О","")</f>
        <v/>
      </c>
      <c r="JG8" s="10" t="str">
        <f aca="false">IF(SUMPRODUCT((Отпуска!$A$5:$A$17=$A8)*(Отпуска!$B$5:$B$17&lt;=JG$5)*(Отпуска!$D$5:$D$17&gt;=JG$5))&gt;0,"О","")</f>
        <v/>
      </c>
      <c r="JH8" s="10" t="str">
        <f aca="false">IF(SUMPRODUCT((Отпуска!$A$5:$A$17=$A8)*(Отпуска!$B$5:$B$17&lt;=JH$5)*(Отпуска!$D$5:$D$17&gt;=JH$5))&gt;0,"О","")</f>
        <v/>
      </c>
      <c r="JI8" s="10" t="str">
        <f aca="false">IF(SUMPRODUCT((Отпуска!$A$5:$A$17=$A8)*(Отпуска!$B$5:$B$17&lt;=JI$5)*(Отпуска!$D$5:$D$17&gt;=JI$5))&gt;0,"О","")</f>
        <v/>
      </c>
      <c r="JJ8" s="10" t="str">
        <f aca="false">IF(SUMPRODUCT((Отпуска!$A$5:$A$17=$A8)*(Отпуска!$B$5:$B$17&lt;=JJ$5)*(Отпуска!$D$5:$D$17&gt;=JJ$5))&gt;0,"О","")</f>
        <v/>
      </c>
      <c r="JK8" s="10" t="str">
        <f aca="false">IF(SUMPRODUCT((Отпуска!$A$5:$A$17=$A8)*(Отпуска!$B$5:$B$17&lt;=JK$5)*(Отпуска!$D$5:$D$17&gt;=JK$5))&gt;0,"О","")</f>
        <v/>
      </c>
      <c r="JL8" s="10" t="str">
        <f aca="false">IF(SUMPRODUCT((Отпуска!$A$5:$A$17=$A8)*(Отпуска!$B$5:$B$17&lt;=JL$5)*(Отпуска!$D$5:$D$17&gt;=JL$5))&gt;0,"О","")</f>
        <v/>
      </c>
      <c r="JM8" s="10" t="str">
        <f aca="false">IF(SUMPRODUCT((Отпуска!$A$5:$A$17=$A8)*(Отпуска!$B$5:$B$17&lt;=JM$5)*(Отпуска!$D$5:$D$17&gt;=JM$5))&gt;0,"О","")</f>
        <v/>
      </c>
      <c r="JN8" s="10" t="str">
        <f aca="false">IF(SUMPRODUCT((Отпуска!$A$5:$A$17=$A8)*(Отпуска!$B$5:$B$17&lt;=JN$5)*(Отпуска!$D$5:$D$17&gt;=JN$5))&gt;0,"О","")</f>
        <v/>
      </c>
      <c r="JO8" s="10" t="str">
        <f aca="false">IF(SUMPRODUCT((Отпуска!$A$5:$A$17=$A8)*(Отпуска!$B$5:$B$17&lt;=JO$5)*(Отпуска!$D$5:$D$17&gt;=JO$5))&gt;0,"О","")</f>
        <v/>
      </c>
      <c r="JP8" s="10" t="str">
        <f aca="false">IF(SUMPRODUCT((Отпуска!$A$5:$A$17=$A8)*(Отпуска!$B$5:$B$17&lt;=JP$5)*(Отпуска!$D$5:$D$17&gt;=JP$5))&gt;0,"О","")</f>
        <v/>
      </c>
      <c r="JQ8" s="10" t="str">
        <f aca="false">IF(SUMPRODUCT((Отпуска!$A$5:$A$17=$A8)*(Отпуска!$B$5:$B$17&lt;=JQ$5)*(Отпуска!$D$5:$D$17&gt;=JQ$5))&gt;0,"О","")</f>
        <v/>
      </c>
      <c r="JR8" s="10" t="str">
        <f aca="false">IF(SUMPRODUCT((Отпуска!$A$5:$A$17=$A8)*(Отпуска!$B$5:$B$17&lt;=JR$5)*(Отпуска!$D$5:$D$17&gt;=JR$5))&gt;0,"О","")</f>
        <v/>
      </c>
      <c r="JS8" s="10" t="str">
        <f aca="false">IF(SUMPRODUCT((Отпуска!$A$5:$A$17=$A8)*(Отпуска!$B$5:$B$17&lt;=JS$5)*(Отпуска!$D$5:$D$17&gt;=JS$5))&gt;0,"О","")</f>
        <v/>
      </c>
      <c r="JT8" s="10" t="str">
        <f aca="false">IF(SUMPRODUCT((Отпуска!$A$5:$A$17=$A8)*(Отпуска!$B$5:$B$17&lt;=JT$5)*(Отпуска!$D$5:$D$17&gt;=JT$5))&gt;0,"О","")</f>
        <v/>
      </c>
      <c r="JU8" s="10" t="str">
        <f aca="false">IF(SUMPRODUCT((Отпуска!$A$5:$A$17=$A8)*(Отпуска!$B$5:$B$17&lt;=JU$5)*(Отпуска!$D$5:$D$17&gt;=JU$5))&gt;0,"О","")</f>
        <v/>
      </c>
      <c r="JV8" s="10" t="str">
        <f aca="false">IF(SUMPRODUCT((Отпуска!$A$5:$A$17=$A8)*(Отпуска!$B$5:$B$17&lt;=JV$5)*(Отпуска!$D$5:$D$17&gt;=JV$5))&gt;0,"О","")</f>
        <v/>
      </c>
      <c r="JW8" s="10" t="str">
        <f aca="false">IF(SUMPRODUCT((Отпуска!$A$5:$A$17=$A8)*(Отпуска!$B$5:$B$17&lt;=JW$5)*(Отпуска!$D$5:$D$17&gt;=JW$5))&gt;0,"О","")</f>
        <v/>
      </c>
      <c r="JX8" s="10" t="str">
        <f aca="false">IF(SUMPRODUCT((Отпуска!$A$5:$A$17=$A8)*(Отпуска!$B$5:$B$17&lt;=JX$5)*(Отпуска!$D$5:$D$17&gt;=JX$5))&gt;0,"О","")</f>
        <v/>
      </c>
      <c r="JY8" s="10" t="str">
        <f aca="false">IF(SUMPRODUCT((Отпуска!$A$5:$A$17=$A8)*(Отпуска!$B$5:$B$17&lt;=JY$5)*(Отпуска!$D$5:$D$17&gt;=JY$5))&gt;0,"О","")</f>
        <v/>
      </c>
      <c r="JZ8" s="10" t="str">
        <f aca="false">IF(SUMPRODUCT((Отпуска!$A$5:$A$17=$A8)*(Отпуска!$B$5:$B$17&lt;=JZ$5)*(Отпуска!$D$5:$D$17&gt;=JZ$5))&gt;0,"О","")</f>
        <v/>
      </c>
      <c r="KA8" s="10" t="str">
        <f aca="false">IF(SUMPRODUCT((Отпуска!$A$5:$A$17=$A8)*(Отпуска!$B$5:$B$17&lt;=KA$5)*(Отпуска!$D$5:$D$17&gt;=KA$5))&gt;0,"О","")</f>
        <v/>
      </c>
      <c r="KB8" s="10" t="str">
        <f aca="false">IF(SUMPRODUCT((Отпуска!$A$5:$A$17=$A8)*(Отпуска!$B$5:$B$17&lt;=KB$5)*(Отпуска!$D$5:$D$17&gt;=KB$5))&gt;0,"О","")</f>
        <v/>
      </c>
      <c r="KC8" s="10" t="str">
        <f aca="false">IF(SUMPRODUCT((Отпуска!$A$5:$A$17=$A8)*(Отпуска!$B$5:$B$17&lt;=KC$5)*(Отпуска!$D$5:$D$17&gt;=KC$5))&gt;0,"О","")</f>
        <v/>
      </c>
      <c r="KD8" s="10" t="str">
        <f aca="false">IF(SUMPRODUCT((Отпуска!$A$5:$A$17=$A8)*(Отпуска!$B$5:$B$17&lt;=KD$5)*(Отпуска!$D$5:$D$17&gt;=KD$5))&gt;0,"О","")</f>
        <v/>
      </c>
      <c r="KE8" s="10" t="str">
        <f aca="false">IF(SUMPRODUCT((Отпуска!$A$5:$A$17=$A8)*(Отпуска!$B$5:$B$17&lt;=KE$5)*(Отпуска!$D$5:$D$17&gt;=KE$5))&gt;0,"О","")</f>
        <v/>
      </c>
      <c r="KF8" s="10" t="str">
        <f aca="false">IF(SUMPRODUCT((Отпуска!$A$5:$A$17=$A8)*(Отпуска!$B$5:$B$17&lt;=KF$5)*(Отпуска!$D$5:$D$17&gt;=KF$5))&gt;0,"О","")</f>
        <v/>
      </c>
      <c r="KG8" s="10" t="str">
        <f aca="false">IF(SUMPRODUCT((Отпуска!$A$5:$A$17=$A8)*(Отпуска!$B$5:$B$17&lt;=KG$5)*(Отпуска!$D$5:$D$17&gt;=KG$5))&gt;0,"О","")</f>
        <v/>
      </c>
      <c r="KH8" s="10" t="str">
        <f aca="false">IF(SUMPRODUCT((Отпуска!$A$5:$A$17=$A8)*(Отпуска!$B$5:$B$17&lt;=KH$5)*(Отпуска!$D$5:$D$17&gt;=KH$5))&gt;0,"О","")</f>
        <v/>
      </c>
      <c r="KI8" s="10" t="str">
        <f aca="false">IF(SUMPRODUCT((Отпуска!$A$5:$A$17=$A8)*(Отпуска!$B$5:$B$17&lt;=KI$5)*(Отпуска!$D$5:$D$17&gt;=KI$5))&gt;0,"О","")</f>
        <v/>
      </c>
      <c r="KJ8" s="10" t="str">
        <f aca="false">IF(SUMPRODUCT((Отпуска!$A$5:$A$17=$A8)*(Отпуска!$B$5:$B$17&lt;=KJ$5)*(Отпуска!$D$5:$D$17&gt;=KJ$5))&gt;0,"О","")</f>
        <v/>
      </c>
      <c r="KK8" s="10" t="str">
        <f aca="false">IF(SUMPRODUCT((Отпуска!$A$5:$A$17=$A8)*(Отпуска!$B$5:$B$17&lt;=KK$5)*(Отпуска!$D$5:$D$17&gt;=KK$5))&gt;0,"О","")</f>
        <v/>
      </c>
      <c r="KL8" s="10" t="str">
        <f aca="false">IF(SUMPRODUCT((Отпуска!$A$5:$A$17=$A8)*(Отпуска!$B$5:$B$17&lt;=KL$5)*(Отпуска!$D$5:$D$17&gt;=KL$5))&gt;0,"О","")</f>
        <v/>
      </c>
      <c r="KM8" s="10" t="str">
        <f aca="false">IF(SUMPRODUCT((Отпуска!$A$5:$A$17=$A8)*(Отпуска!$B$5:$B$17&lt;=KM$5)*(Отпуска!$D$5:$D$17&gt;=KM$5))&gt;0,"О","")</f>
        <v/>
      </c>
      <c r="KN8" s="10" t="str">
        <f aca="false">IF(SUMPRODUCT((Отпуска!$A$5:$A$17=$A8)*(Отпуска!$B$5:$B$17&lt;=KN$5)*(Отпуска!$D$5:$D$17&gt;=KN$5))&gt;0,"О","")</f>
        <v/>
      </c>
      <c r="KO8" s="10" t="str">
        <f aca="false">IF(SUMPRODUCT((Отпуска!$A$5:$A$17=$A8)*(Отпуска!$B$5:$B$17&lt;=KO$5)*(Отпуска!$D$5:$D$17&gt;=KO$5))&gt;0,"О","")</f>
        <v/>
      </c>
      <c r="KP8" s="10" t="str">
        <f aca="false">IF(SUMPRODUCT((Отпуска!$A$5:$A$17=$A8)*(Отпуска!$B$5:$B$17&lt;=KP$5)*(Отпуска!$D$5:$D$17&gt;=KP$5))&gt;0,"О","")</f>
        <v/>
      </c>
      <c r="KQ8" s="10" t="str">
        <f aca="false">IF(SUMPRODUCT((Отпуска!$A$5:$A$17=$A8)*(Отпуска!$B$5:$B$17&lt;=KQ$5)*(Отпуска!$D$5:$D$17&gt;=KQ$5))&gt;0,"О","")</f>
        <v/>
      </c>
      <c r="KR8" s="10" t="str">
        <f aca="false">IF(SUMPRODUCT((Отпуска!$A$5:$A$17=$A8)*(Отпуска!$B$5:$B$17&lt;=KR$5)*(Отпуска!$D$5:$D$17&gt;=KR$5))&gt;0,"О","")</f>
        <v/>
      </c>
      <c r="KS8" s="10" t="str">
        <f aca="false">IF(SUMPRODUCT((Отпуска!$A$5:$A$17=$A8)*(Отпуска!$B$5:$B$17&lt;=KS$5)*(Отпуска!$D$5:$D$17&gt;=KS$5))&gt;0,"О","")</f>
        <v/>
      </c>
      <c r="KT8" s="10" t="str">
        <f aca="false">IF(SUMPRODUCT((Отпуска!$A$5:$A$17=$A8)*(Отпуска!$B$5:$B$17&lt;=KT$5)*(Отпуска!$D$5:$D$17&gt;=KT$5))&gt;0,"О","")</f>
        <v/>
      </c>
      <c r="KU8" s="10" t="str">
        <f aca="false">IF(SUMPRODUCT((Отпуска!$A$5:$A$17=$A8)*(Отпуска!$B$5:$B$17&lt;=KU$5)*(Отпуска!$D$5:$D$17&gt;=KU$5))&gt;0,"О","")</f>
        <v/>
      </c>
      <c r="KV8" s="10" t="str">
        <f aca="false">IF(SUMPRODUCT((Отпуска!$A$5:$A$17=$A8)*(Отпуска!$B$5:$B$17&lt;=KV$5)*(Отпуска!$D$5:$D$17&gt;=KV$5))&gt;0,"О","")</f>
        <v/>
      </c>
      <c r="KW8" s="10" t="str">
        <f aca="false">IF(SUMPRODUCT((Отпуска!$A$5:$A$17=$A8)*(Отпуска!$B$5:$B$17&lt;=KW$5)*(Отпуска!$D$5:$D$17&gt;=KW$5))&gt;0,"О","")</f>
        <v/>
      </c>
      <c r="KX8" s="10" t="str">
        <f aca="false">IF(SUMPRODUCT((Отпуска!$A$5:$A$17=$A8)*(Отпуска!$B$5:$B$17&lt;=KX$5)*(Отпуска!$D$5:$D$17&gt;=KX$5))&gt;0,"О","")</f>
        <v/>
      </c>
      <c r="KY8" s="10" t="str">
        <f aca="false">IF(SUMPRODUCT((Отпуска!$A$5:$A$17=$A8)*(Отпуска!$B$5:$B$17&lt;=KY$5)*(Отпуска!$D$5:$D$17&gt;=KY$5))&gt;0,"О","")</f>
        <v/>
      </c>
      <c r="KZ8" s="10" t="str">
        <f aca="false">IF(SUMPRODUCT((Отпуска!$A$5:$A$17=$A8)*(Отпуска!$B$5:$B$17&lt;=KZ$5)*(Отпуска!$D$5:$D$17&gt;=KZ$5))&gt;0,"О","")</f>
        <v/>
      </c>
      <c r="LA8" s="10" t="str">
        <f aca="false">IF(SUMPRODUCT((Отпуска!$A$5:$A$17=$A8)*(Отпуска!$B$5:$B$17&lt;=LA$5)*(Отпуска!$D$5:$D$17&gt;=LA$5))&gt;0,"О","")</f>
        <v/>
      </c>
      <c r="LB8" s="10" t="str">
        <f aca="false">IF(SUMPRODUCT((Отпуска!$A$5:$A$17=$A8)*(Отпуска!$B$5:$B$17&lt;=LB$5)*(Отпуска!$D$5:$D$17&gt;=LB$5))&gt;0,"О","")</f>
        <v/>
      </c>
      <c r="LC8" s="10" t="str">
        <f aca="false">IF(SUMPRODUCT((Отпуска!$A$5:$A$17=$A8)*(Отпуска!$B$5:$B$17&lt;=LC$5)*(Отпуска!$D$5:$D$17&gt;=LC$5))&gt;0,"О","")</f>
        <v/>
      </c>
      <c r="LD8" s="10" t="str">
        <f aca="false">IF(SUMPRODUCT((Отпуска!$A$5:$A$17=$A8)*(Отпуска!$B$5:$B$17&lt;=LD$5)*(Отпуска!$D$5:$D$17&gt;=LD$5))&gt;0,"О","")</f>
        <v/>
      </c>
      <c r="LE8" s="10" t="str">
        <f aca="false">IF(SUMPRODUCT((Отпуска!$A$5:$A$17=$A8)*(Отпуска!$B$5:$B$17&lt;=LE$5)*(Отпуска!$D$5:$D$17&gt;=LE$5))&gt;0,"О","")</f>
        <v/>
      </c>
      <c r="LF8" s="10" t="str">
        <f aca="false">IF(SUMPRODUCT((Отпуска!$A$5:$A$17=$A8)*(Отпуска!$B$5:$B$17&lt;=LF$5)*(Отпуска!$D$5:$D$17&gt;=LF$5))&gt;0,"О","")</f>
        <v/>
      </c>
      <c r="LG8" s="10" t="str">
        <f aca="false">IF(SUMPRODUCT((Отпуска!$A$5:$A$17=$A8)*(Отпуска!$B$5:$B$17&lt;=LG$5)*(Отпуска!$D$5:$D$17&gt;=LG$5))&gt;0,"О","")</f>
        <v/>
      </c>
      <c r="LH8" s="10" t="str">
        <f aca="false">IF(SUMPRODUCT((Отпуска!$A$5:$A$17=$A8)*(Отпуска!$B$5:$B$17&lt;=LH$5)*(Отпуска!$D$5:$D$17&gt;=LH$5))&gt;0,"О","")</f>
        <v/>
      </c>
      <c r="LI8" s="10" t="str">
        <f aca="false">IF(SUMPRODUCT((Отпуска!$A$5:$A$17=$A8)*(Отпуска!$B$5:$B$17&lt;=LI$5)*(Отпуска!$D$5:$D$17&gt;=LI$5))&gt;0,"О","")</f>
        <v/>
      </c>
      <c r="LJ8" s="10" t="str">
        <f aca="false">IF(SUMPRODUCT((Отпуска!$A$5:$A$17=$A8)*(Отпуска!$B$5:$B$17&lt;=LJ$5)*(Отпуска!$D$5:$D$17&gt;=LJ$5))&gt;0,"О","")</f>
        <v/>
      </c>
      <c r="LK8" s="10" t="str">
        <f aca="false">IF(SUMPRODUCT((Отпуска!$A$5:$A$17=$A8)*(Отпуска!$B$5:$B$17&lt;=LK$5)*(Отпуска!$D$5:$D$17&gt;=LK$5))&gt;0,"О","")</f>
        <v/>
      </c>
      <c r="LL8" s="10" t="str">
        <f aca="false">IF(SUMPRODUCT((Отпуска!$A$5:$A$17=$A8)*(Отпуска!$B$5:$B$17&lt;=LL$5)*(Отпуска!$D$5:$D$17&gt;=LL$5))&gt;0,"О","")</f>
        <v/>
      </c>
      <c r="LM8" s="10" t="str">
        <f aca="false">IF(SUMPRODUCT((Отпуска!$A$5:$A$17=$A8)*(Отпуска!$B$5:$B$17&lt;=LM$5)*(Отпуска!$D$5:$D$17&gt;=LM$5))&gt;0,"О","")</f>
        <v/>
      </c>
      <c r="LN8" s="10" t="str">
        <f aca="false">IF(SUMPRODUCT((Отпуска!$A$5:$A$17=$A8)*(Отпуска!$B$5:$B$17&lt;=LN$5)*(Отпуска!$D$5:$D$17&gt;=LN$5))&gt;0,"О","")</f>
        <v/>
      </c>
      <c r="LO8" s="10" t="str">
        <f aca="false">IF(SUMPRODUCT((Отпуска!$A$5:$A$17=$A8)*(Отпуска!$B$5:$B$17&lt;=LO$5)*(Отпуска!$D$5:$D$17&gt;=LO$5))&gt;0,"О","")</f>
        <v/>
      </c>
      <c r="LP8" s="10" t="str">
        <f aca="false">IF(SUMPRODUCT((Отпуска!$A$5:$A$17=$A8)*(Отпуска!$B$5:$B$17&lt;=LP$5)*(Отпуска!$D$5:$D$17&gt;=LP$5))&gt;0,"О","")</f>
        <v/>
      </c>
      <c r="LQ8" s="10" t="str">
        <f aca="false">IF(SUMPRODUCT((Отпуска!$A$5:$A$17=$A8)*(Отпуска!$B$5:$B$17&lt;=LQ$5)*(Отпуска!$D$5:$D$17&gt;=LQ$5))&gt;0,"О","")</f>
        <v/>
      </c>
      <c r="LR8" s="10" t="str">
        <f aca="false">IF(SUMPRODUCT((Отпуска!$A$5:$A$17=$A8)*(Отпуска!$B$5:$B$17&lt;=LR$5)*(Отпуска!$D$5:$D$17&gt;=LR$5))&gt;0,"О","")</f>
        <v/>
      </c>
      <c r="LS8" s="10" t="str">
        <f aca="false">IF(SUMPRODUCT((Отпуска!$A$5:$A$17=$A8)*(Отпуска!$B$5:$B$17&lt;=LS$5)*(Отпуска!$D$5:$D$17&gt;=LS$5))&gt;0,"О","")</f>
        <v/>
      </c>
      <c r="LT8" s="10" t="str">
        <f aca="false">IF(SUMPRODUCT((Отпуска!$A$5:$A$17=$A8)*(Отпуска!$B$5:$B$17&lt;=LT$5)*(Отпуска!$D$5:$D$17&gt;=LT$5))&gt;0,"О","")</f>
        <v/>
      </c>
      <c r="LU8" s="10" t="str">
        <f aca="false">IF(SUMPRODUCT((Отпуска!$A$5:$A$17=$A8)*(Отпуска!$B$5:$B$17&lt;=LU$5)*(Отпуска!$D$5:$D$17&gt;=LU$5))&gt;0,"О","")</f>
        <v/>
      </c>
      <c r="LV8" s="10" t="str">
        <f aca="false">IF(SUMPRODUCT((Отпуска!$A$5:$A$17=$A8)*(Отпуска!$B$5:$B$17&lt;=LV$5)*(Отпуска!$D$5:$D$17&gt;=LV$5))&gt;0,"О","")</f>
        <v/>
      </c>
      <c r="LW8" s="10" t="str">
        <f aca="false">IF(SUMPRODUCT((Отпуска!$A$5:$A$17=$A8)*(Отпуска!$B$5:$B$17&lt;=LW$5)*(Отпуска!$D$5:$D$17&gt;=LW$5))&gt;0,"О","")</f>
        <v/>
      </c>
      <c r="LX8" s="10" t="str">
        <f aca="false">IF(SUMPRODUCT((Отпуска!$A$5:$A$17=$A8)*(Отпуска!$B$5:$B$17&lt;=LX$5)*(Отпуска!$D$5:$D$17&gt;=LX$5))&gt;0,"О","")</f>
        <v/>
      </c>
      <c r="LY8" s="10" t="str">
        <f aca="false">IF(SUMPRODUCT((Отпуска!$A$5:$A$17=$A8)*(Отпуска!$B$5:$B$17&lt;=LY$5)*(Отпуска!$D$5:$D$17&gt;=LY$5))&gt;0,"О","")</f>
        <v/>
      </c>
      <c r="LZ8" s="10" t="str">
        <f aca="false">IF(SUMPRODUCT((Отпуска!$A$5:$A$17=$A8)*(Отпуска!$B$5:$B$17&lt;=LZ$5)*(Отпуска!$D$5:$D$17&gt;=LZ$5))&gt;0,"О","")</f>
        <v/>
      </c>
      <c r="MA8" s="10" t="str">
        <f aca="false">IF(SUMPRODUCT((Отпуска!$A$5:$A$17=$A8)*(Отпуска!$B$5:$B$17&lt;=MA$5)*(Отпуска!$D$5:$D$17&gt;=MA$5))&gt;0,"О","")</f>
        <v/>
      </c>
      <c r="MB8" s="10" t="str">
        <f aca="false">IF(SUMPRODUCT((Отпуска!$A$5:$A$17=$A8)*(Отпуска!$B$5:$B$17&lt;=MB$5)*(Отпуска!$D$5:$D$17&gt;=MB$5))&gt;0,"О","")</f>
        <v/>
      </c>
      <c r="MC8" s="10" t="str">
        <f aca="false">IF(SUMPRODUCT((Отпуска!$A$5:$A$17=$A8)*(Отпуска!$B$5:$B$17&lt;=MC$5)*(Отпуска!$D$5:$D$17&gt;=MC$5))&gt;0,"О","")</f>
        <v/>
      </c>
      <c r="MD8" s="10" t="str">
        <f aca="false">IF(SUMPRODUCT((Отпуска!$A$5:$A$17=$A8)*(Отпуска!$B$5:$B$17&lt;=MD$5)*(Отпуска!$D$5:$D$17&gt;=MD$5))&gt;0,"О","")</f>
        <v/>
      </c>
      <c r="ME8" s="10" t="str">
        <f aca="false">IF(SUMPRODUCT((Отпуска!$A$5:$A$17=$A8)*(Отпуска!$B$5:$B$17&lt;=ME$5)*(Отпуска!$D$5:$D$17&gt;=ME$5))&gt;0,"О","")</f>
        <v/>
      </c>
      <c r="MF8" s="10" t="str">
        <f aca="false">IF(SUMPRODUCT((Отпуска!$A$5:$A$17=$A8)*(Отпуска!$B$5:$B$17&lt;=MF$5)*(Отпуска!$D$5:$D$17&gt;=MF$5))&gt;0,"О","")</f>
        <v/>
      </c>
      <c r="MG8" s="10" t="str">
        <f aca="false">IF(SUMPRODUCT((Отпуска!$A$5:$A$17=$A8)*(Отпуска!$B$5:$B$17&lt;=MG$5)*(Отпуска!$D$5:$D$17&gt;=MG$5))&gt;0,"О","")</f>
        <v/>
      </c>
      <c r="MH8" s="10" t="str">
        <f aca="false">IF(SUMPRODUCT((Отпуска!$A$5:$A$17=$A8)*(Отпуска!$B$5:$B$17&lt;=MH$5)*(Отпуска!$D$5:$D$17&gt;=MH$5))&gt;0,"О","")</f>
        <v/>
      </c>
      <c r="MI8" s="10" t="str">
        <f aca="false">IF(SUMPRODUCT((Отпуска!$A$5:$A$17=$A8)*(Отпуска!$B$5:$B$17&lt;=MI$5)*(Отпуска!$D$5:$D$17&gt;=MI$5))&gt;0,"О","")</f>
        <v/>
      </c>
      <c r="MJ8" s="10" t="str">
        <f aca="false">IF(SUMPRODUCT((Отпуска!$A$5:$A$17=$A8)*(Отпуска!$B$5:$B$17&lt;=MJ$5)*(Отпуска!$D$5:$D$17&gt;=MJ$5))&gt;0,"О","")</f>
        <v/>
      </c>
      <c r="MK8" s="10" t="str">
        <f aca="false">IF(SUMPRODUCT((Отпуска!$A$5:$A$17=$A8)*(Отпуска!$B$5:$B$17&lt;=MK$5)*(Отпуска!$D$5:$D$17&gt;=MK$5))&gt;0,"О","")</f>
        <v/>
      </c>
      <c r="ML8" s="10" t="str">
        <f aca="false">IF(SUMPRODUCT((Отпуска!$A$5:$A$17=$A8)*(Отпуска!$B$5:$B$17&lt;=ML$5)*(Отпуска!$D$5:$D$17&gt;=ML$5))&gt;0,"О","")</f>
        <v/>
      </c>
      <c r="MM8" s="10" t="str">
        <f aca="false">IF(SUMPRODUCT((Отпуска!$A$5:$A$17=$A8)*(Отпуска!$B$5:$B$17&lt;=MM$5)*(Отпуска!$D$5:$D$17&gt;=MM$5))&gt;0,"О","")</f>
        <v/>
      </c>
      <c r="MN8" s="10" t="str">
        <f aca="false">IF(SUMPRODUCT((Отпуска!$A$5:$A$17=$A8)*(Отпуска!$B$5:$B$17&lt;=MN$5)*(Отпуска!$D$5:$D$17&gt;=MN$5))&gt;0,"О","")</f>
        <v/>
      </c>
      <c r="MO8" s="10" t="str">
        <f aca="false">IF(SUMPRODUCT((Отпуска!$A$5:$A$17=$A8)*(Отпуска!$B$5:$B$17&lt;=MO$5)*(Отпуска!$D$5:$D$17&gt;=MO$5))&gt;0,"О","")</f>
        <v/>
      </c>
      <c r="MP8" s="10" t="str">
        <f aca="false">IF(SUMPRODUCT((Отпуска!$A$5:$A$17=$A8)*(Отпуска!$B$5:$B$17&lt;=MP$5)*(Отпуска!$D$5:$D$17&gt;=MP$5))&gt;0,"О","")</f>
        <v/>
      </c>
      <c r="MQ8" s="10" t="str">
        <f aca="false">IF(SUMPRODUCT((Отпуска!$A$5:$A$17=$A8)*(Отпуска!$B$5:$B$17&lt;=MQ$5)*(Отпуска!$D$5:$D$17&gt;=MQ$5))&gt;0,"О","")</f>
        <v/>
      </c>
      <c r="MR8" s="10" t="str">
        <f aca="false">IF(SUMPRODUCT((Отпуска!$A$5:$A$17=$A8)*(Отпуска!$B$5:$B$17&lt;=MR$5)*(Отпуска!$D$5:$D$17&gt;=MR$5))&gt;0,"О","")</f>
        <v/>
      </c>
      <c r="MS8" s="10" t="str">
        <f aca="false">IF(SUMPRODUCT((Отпуска!$A$5:$A$17=$A8)*(Отпуска!$B$5:$B$17&lt;=MS$5)*(Отпуска!$D$5:$D$17&gt;=MS$5))&gt;0,"О","")</f>
        <v/>
      </c>
      <c r="MT8" s="10" t="str">
        <f aca="false">IF(SUMPRODUCT((Отпуска!$A$5:$A$17=$A8)*(Отпуска!$B$5:$B$17&lt;=MT$5)*(Отпуска!$D$5:$D$17&gt;=MT$5))&gt;0,"О","")</f>
        <v/>
      </c>
      <c r="MU8" s="10" t="str">
        <f aca="false">IF(SUMPRODUCT((Отпуска!$A$5:$A$17=$A8)*(Отпуска!$B$5:$B$17&lt;=MU$5)*(Отпуска!$D$5:$D$17&gt;=MU$5))&gt;0,"О","")</f>
        <v/>
      </c>
      <c r="MV8" s="10" t="str">
        <f aca="false">IF(SUMPRODUCT((Отпуска!$A$5:$A$17=$A8)*(Отпуска!$B$5:$B$17&lt;=MV$5)*(Отпуска!$D$5:$D$17&gt;=MV$5))&gt;0,"О","")</f>
        <v/>
      </c>
      <c r="MW8" s="10" t="str">
        <f aca="false">IF(SUMPRODUCT((Отпуска!$A$5:$A$17=$A8)*(Отпуска!$B$5:$B$17&lt;=MW$5)*(Отпуска!$D$5:$D$17&gt;=MW$5))&gt;0,"О","")</f>
        <v>О</v>
      </c>
      <c r="MX8" s="10" t="str">
        <f aca="false">IF(SUMPRODUCT((Отпуска!$A$5:$A$17=$A8)*(Отпуска!$B$5:$B$17&lt;=MX$5)*(Отпуска!$D$5:$D$17&gt;=MX$5))&gt;0,"О","")</f>
        <v>О</v>
      </c>
      <c r="MY8" s="10" t="str">
        <f aca="false">IF(SUMPRODUCT((Отпуска!$A$5:$A$17=$A8)*(Отпуска!$B$5:$B$17&lt;=MY$5)*(Отпуска!$D$5:$D$17&gt;=MY$5))&gt;0,"О","")</f>
        <v>О</v>
      </c>
      <c r="MZ8" s="10" t="str">
        <f aca="false">IF(SUMPRODUCT((Отпуска!$A$5:$A$17=$A8)*(Отпуска!$B$5:$B$17&lt;=MZ$5)*(Отпуска!$D$5:$D$17&gt;=MZ$5))&gt;0,"О","")</f>
        <v>О</v>
      </c>
      <c r="NA8" s="10" t="str">
        <f aca="false">IF(SUMPRODUCT((Отпуска!$A$5:$A$17=$A8)*(Отпуска!$B$5:$B$17&lt;=NA$5)*(Отпуска!$D$5:$D$17&gt;=NA$5))&gt;0,"О","")</f>
        <v>О</v>
      </c>
      <c r="NB8" s="10" t="str">
        <f aca="false">IF(SUMPRODUCT((Отпуска!$A$5:$A$17=$A8)*(Отпуска!$B$5:$B$17&lt;=NB$5)*(Отпуска!$D$5:$D$17&gt;=NB$5))&gt;0,"О","")</f>
        <v>О</v>
      </c>
      <c r="NC8" s="10" t="str">
        <f aca="false">IF(SUMPRODUCT((Отпуска!$A$5:$A$17=$A8)*(Отпуска!$B$5:$B$17&lt;=NC$5)*(Отпуска!$D$5:$D$17&gt;=NC$5))&gt;0,"О","")</f>
        <v>О</v>
      </c>
      <c r="ND8" s="10" t="str">
        <f aca="false">IF(SUMPRODUCT((Отпуска!$A$5:$A$17=$A8)*(Отпуска!$B$5:$B$17&lt;=ND$5)*(Отпуска!$D$5:$D$17&gt;=ND$5))&gt;0,"О","")</f>
        <v>О</v>
      </c>
    </row>
    <row r="9" customFormat="false" ht="18" hidden="false" customHeight="true" outlineLevel="0" collapsed="false">
      <c r="A9" s="12" t="s">
        <v>19</v>
      </c>
      <c r="B9" s="9" t="n">
        <f aca="false">COUNTIF(D9:ND9,"О")</f>
        <v>55</v>
      </c>
      <c r="C9" s="9" t="n">
        <f aca="false">SUMIF(Отпуска!$A$5:$A$17,$A9,Отпуска!$C$5:$C$17)</f>
        <v>55</v>
      </c>
      <c r="D9" s="10" t="str">
        <f aca="false">IF(SUMPRODUCT((Отпуска!$A$5:$A$17=$A9)*(Отпуска!$B$5:$B$17&lt;=D$5)*(Отпуска!$D$5:$D$17&gt;=D$5))&gt;0,"О","")</f>
        <v/>
      </c>
      <c r="E9" s="10" t="str">
        <f aca="false">IF(SUMPRODUCT((Отпуска!$A$5:$A$17=$A9)*(Отпуска!$B$5:$B$17&lt;=E$5)*(Отпуска!$D$5:$D$17&gt;=E$5))&gt;0,"О","")</f>
        <v/>
      </c>
      <c r="F9" s="10" t="str">
        <f aca="false">IF(SUMPRODUCT((Отпуска!$A$5:$A$17=$A9)*(Отпуска!$B$5:$B$17&lt;=F$5)*(Отпуска!$D$5:$D$17&gt;=F$5))&gt;0,"О","")</f>
        <v/>
      </c>
      <c r="G9" s="10" t="str">
        <f aca="false">IF(SUMPRODUCT((Отпуска!$A$5:$A$17=$A9)*(Отпуска!$B$5:$B$17&lt;=G$5)*(Отпуска!$D$5:$D$17&gt;=G$5))&gt;0,"О","")</f>
        <v/>
      </c>
      <c r="H9" s="10" t="str">
        <f aca="false">IF(SUMPRODUCT((Отпуска!$A$5:$A$17=$A9)*(Отпуска!$B$5:$B$17&lt;=H$5)*(Отпуска!$D$5:$D$17&gt;=H$5))&gt;0,"О","")</f>
        <v/>
      </c>
      <c r="I9" s="10" t="str">
        <f aca="false">IF(SUMPRODUCT((Отпуска!$A$5:$A$17=$A9)*(Отпуска!$B$5:$B$17&lt;=I$5)*(Отпуска!$D$5:$D$17&gt;=I$5))&gt;0,"О","")</f>
        <v/>
      </c>
      <c r="J9" s="10" t="str">
        <f aca="false">IF(SUMPRODUCT((Отпуска!$A$5:$A$17=$A9)*(Отпуска!$B$5:$B$17&lt;=J$5)*(Отпуска!$D$5:$D$17&gt;=J$5))&gt;0,"О","")</f>
        <v/>
      </c>
      <c r="K9" s="10" t="str">
        <f aca="false">IF(SUMPRODUCT((Отпуска!$A$5:$A$17=$A9)*(Отпуска!$B$5:$B$17&lt;=K$5)*(Отпуска!$D$5:$D$17&gt;=K$5))&gt;0,"О","")</f>
        <v/>
      </c>
      <c r="L9" s="10" t="str">
        <f aca="false">IF(SUMPRODUCT((Отпуска!$A$5:$A$17=$A9)*(Отпуска!$B$5:$B$17&lt;=L$5)*(Отпуска!$D$5:$D$17&gt;=L$5))&gt;0,"О","")</f>
        <v/>
      </c>
      <c r="M9" s="10" t="str">
        <f aca="false">IF(SUMPRODUCT((Отпуска!$A$5:$A$17=$A9)*(Отпуска!$B$5:$B$17&lt;=M$5)*(Отпуска!$D$5:$D$17&gt;=M$5))&gt;0,"О","")</f>
        <v/>
      </c>
      <c r="N9" s="10" t="str">
        <f aca="false">IF(SUMPRODUCT((Отпуска!$A$5:$A$17=$A9)*(Отпуска!$B$5:$B$17&lt;=N$5)*(Отпуска!$D$5:$D$17&gt;=N$5))&gt;0,"О","")</f>
        <v/>
      </c>
      <c r="O9" s="10" t="str">
        <f aca="false">IF(SUMPRODUCT((Отпуска!$A$5:$A$17=$A9)*(Отпуска!$B$5:$B$17&lt;=O$5)*(Отпуска!$D$5:$D$17&gt;=O$5))&gt;0,"О","")</f>
        <v/>
      </c>
      <c r="P9" s="10" t="str">
        <f aca="false">IF(SUMPRODUCT((Отпуска!$A$5:$A$17=$A9)*(Отпуска!$B$5:$B$17&lt;=P$5)*(Отпуска!$D$5:$D$17&gt;=P$5))&gt;0,"О","")</f>
        <v/>
      </c>
      <c r="Q9" s="10" t="str">
        <f aca="false">IF(SUMPRODUCT((Отпуска!$A$5:$A$17=$A9)*(Отпуска!$B$5:$B$17&lt;=Q$5)*(Отпуска!$D$5:$D$17&gt;=Q$5))&gt;0,"О","")</f>
        <v/>
      </c>
      <c r="R9" s="10" t="str">
        <f aca="false">IF(SUMPRODUCT((Отпуска!$A$5:$A$17=$A9)*(Отпуска!$B$5:$B$17&lt;=R$5)*(Отпуска!$D$5:$D$17&gt;=R$5))&gt;0,"О","")</f>
        <v/>
      </c>
      <c r="S9" s="10" t="str">
        <f aca="false">IF(SUMPRODUCT((Отпуска!$A$5:$A$17=$A9)*(Отпуска!$B$5:$B$17&lt;=S$5)*(Отпуска!$D$5:$D$17&gt;=S$5))&gt;0,"О","")</f>
        <v/>
      </c>
      <c r="T9" s="10" t="str">
        <f aca="false">IF(SUMPRODUCT((Отпуска!$A$5:$A$17=$A9)*(Отпуска!$B$5:$B$17&lt;=T$5)*(Отпуска!$D$5:$D$17&gt;=T$5))&gt;0,"О","")</f>
        <v/>
      </c>
      <c r="U9" s="10" t="str">
        <f aca="false">IF(SUMPRODUCT((Отпуска!$A$5:$A$17=$A9)*(Отпуска!$B$5:$B$17&lt;=U$5)*(Отпуска!$D$5:$D$17&gt;=U$5))&gt;0,"О","")</f>
        <v/>
      </c>
      <c r="V9" s="10" t="str">
        <f aca="false">IF(SUMPRODUCT((Отпуска!$A$5:$A$17=$A9)*(Отпуска!$B$5:$B$17&lt;=V$5)*(Отпуска!$D$5:$D$17&gt;=V$5))&gt;0,"О","")</f>
        <v/>
      </c>
      <c r="W9" s="10" t="str">
        <f aca="false">IF(SUMPRODUCT((Отпуска!$A$5:$A$17=$A9)*(Отпуска!$B$5:$B$17&lt;=W$5)*(Отпуска!$D$5:$D$17&gt;=W$5))&gt;0,"О","")</f>
        <v/>
      </c>
      <c r="X9" s="10" t="str">
        <f aca="false">IF(SUMPRODUCT((Отпуска!$A$5:$A$17=$A9)*(Отпуска!$B$5:$B$17&lt;=X$5)*(Отпуска!$D$5:$D$17&gt;=X$5))&gt;0,"О","")</f>
        <v/>
      </c>
      <c r="Y9" s="10" t="str">
        <f aca="false">IF(SUMPRODUCT((Отпуска!$A$5:$A$17=$A9)*(Отпуска!$B$5:$B$17&lt;=Y$5)*(Отпуска!$D$5:$D$17&gt;=Y$5))&gt;0,"О","")</f>
        <v/>
      </c>
      <c r="Z9" s="10" t="str">
        <f aca="false">IF(SUMPRODUCT((Отпуска!$A$5:$A$17=$A9)*(Отпуска!$B$5:$B$17&lt;=Z$5)*(Отпуска!$D$5:$D$17&gt;=Z$5))&gt;0,"О","")</f>
        <v/>
      </c>
      <c r="AA9" s="10" t="str">
        <f aca="false">IF(SUMPRODUCT((Отпуска!$A$5:$A$17=$A9)*(Отпуска!$B$5:$B$17&lt;=AA$5)*(Отпуска!$D$5:$D$17&gt;=AA$5))&gt;0,"О","")</f>
        <v/>
      </c>
      <c r="AB9" s="10" t="str">
        <f aca="false">IF(SUMPRODUCT((Отпуска!$A$5:$A$17=$A9)*(Отпуска!$B$5:$B$17&lt;=AB$5)*(Отпуска!$D$5:$D$17&gt;=AB$5))&gt;0,"О","")</f>
        <v/>
      </c>
      <c r="AC9" s="10" t="str">
        <f aca="false">IF(SUMPRODUCT((Отпуска!$A$5:$A$17=$A9)*(Отпуска!$B$5:$B$17&lt;=AC$5)*(Отпуска!$D$5:$D$17&gt;=AC$5))&gt;0,"О","")</f>
        <v/>
      </c>
      <c r="AD9" s="10" t="str">
        <f aca="false">IF(SUMPRODUCT((Отпуска!$A$5:$A$17=$A9)*(Отпуска!$B$5:$B$17&lt;=AD$5)*(Отпуска!$D$5:$D$17&gt;=AD$5))&gt;0,"О","")</f>
        <v/>
      </c>
      <c r="AE9" s="10" t="str">
        <f aca="false">IF(SUMPRODUCT((Отпуска!$A$5:$A$17=$A9)*(Отпуска!$B$5:$B$17&lt;=AE$5)*(Отпуска!$D$5:$D$17&gt;=AE$5))&gt;0,"О","")</f>
        <v/>
      </c>
      <c r="AF9" s="10" t="str">
        <f aca="false">IF(SUMPRODUCT((Отпуска!$A$5:$A$17=$A9)*(Отпуска!$B$5:$B$17&lt;=AF$5)*(Отпуска!$D$5:$D$17&gt;=AF$5))&gt;0,"О","")</f>
        <v/>
      </c>
      <c r="AG9" s="10" t="str">
        <f aca="false">IF(SUMPRODUCT((Отпуска!$A$5:$A$17=$A9)*(Отпуска!$B$5:$B$17&lt;=AG$5)*(Отпуска!$D$5:$D$17&gt;=AG$5))&gt;0,"О","")</f>
        <v/>
      </c>
      <c r="AH9" s="10" t="str">
        <f aca="false">IF(SUMPRODUCT((Отпуска!$A$5:$A$17=$A9)*(Отпуска!$B$5:$B$17&lt;=AH$5)*(Отпуска!$D$5:$D$17&gt;=AH$5))&gt;0,"О","")</f>
        <v/>
      </c>
      <c r="AI9" s="10" t="str">
        <f aca="false">IF(SUMPRODUCT((Отпуска!$A$5:$A$17=$A9)*(Отпуска!$B$5:$B$17&lt;=AI$5)*(Отпуска!$D$5:$D$17&gt;=AI$5))&gt;0,"О","")</f>
        <v/>
      </c>
      <c r="AJ9" s="10" t="str">
        <f aca="false">IF(SUMPRODUCT((Отпуска!$A$5:$A$17=$A9)*(Отпуска!$B$5:$B$17&lt;=AJ$5)*(Отпуска!$D$5:$D$17&gt;=AJ$5))&gt;0,"О","")</f>
        <v/>
      </c>
      <c r="AK9" s="10" t="str">
        <f aca="false">IF(SUMPRODUCT((Отпуска!$A$5:$A$17=$A9)*(Отпуска!$B$5:$B$17&lt;=AK$5)*(Отпуска!$D$5:$D$17&gt;=AK$5))&gt;0,"О","")</f>
        <v/>
      </c>
      <c r="AL9" s="10" t="str">
        <f aca="false">IF(SUMPRODUCT((Отпуска!$A$5:$A$17=$A9)*(Отпуска!$B$5:$B$17&lt;=AL$5)*(Отпуска!$D$5:$D$17&gt;=AL$5))&gt;0,"О","")</f>
        <v/>
      </c>
      <c r="AM9" s="10" t="str">
        <f aca="false">IF(SUMPRODUCT((Отпуска!$A$5:$A$17=$A9)*(Отпуска!$B$5:$B$17&lt;=AM$5)*(Отпуска!$D$5:$D$17&gt;=AM$5))&gt;0,"О","")</f>
        <v/>
      </c>
      <c r="AN9" s="10" t="str">
        <f aca="false">IF(SUMPRODUCT((Отпуска!$A$5:$A$17=$A9)*(Отпуска!$B$5:$B$17&lt;=AN$5)*(Отпуска!$D$5:$D$17&gt;=AN$5))&gt;0,"О","")</f>
        <v/>
      </c>
      <c r="AO9" s="10" t="str">
        <f aca="false">IF(SUMPRODUCT((Отпуска!$A$5:$A$17=$A9)*(Отпуска!$B$5:$B$17&lt;=AO$5)*(Отпуска!$D$5:$D$17&gt;=AO$5))&gt;0,"О","")</f>
        <v/>
      </c>
      <c r="AP9" s="10" t="str">
        <f aca="false">IF(SUMPRODUCT((Отпуска!$A$5:$A$17=$A9)*(Отпуска!$B$5:$B$17&lt;=AP$5)*(Отпуска!$D$5:$D$17&gt;=AP$5))&gt;0,"О","")</f>
        <v/>
      </c>
      <c r="AQ9" s="10" t="str">
        <f aca="false">IF(SUMPRODUCT((Отпуска!$A$5:$A$17=$A9)*(Отпуска!$B$5:$B$17&lt;=AQ$5)*(Отпуска!$D$5:$D$17&gt;=AQ$5))&gt;0,"О","")</f>
        <v/>
      </c>
      <c r="AR9" s="10" t="str">
        <f aca="false">IF(SUMPRODUCT((Отпуска!$A$5:$A$17=$A9)*(Отпуска!$B$5:$B$17&lt;=AR$5)*(Отпуска!$D$5:$D$17&gt;=AR$5))&gt;0,"О","")</f>
        <v/>
      </c>
      <c r="AS9" s="10" t="str">
        <f aca="false">IF(SUMPRODUCT((Отпуска!$A$5:$A$17=$A9)*(Отпуска!$B$5:$B$17&lt;=AS$5)*(Отпуска!$D$5:$D$17&gt;=AS$5))&gt;0,"О","")</f>
        <v/>
      </c>
      <c r="AT9" s="10" t="str">
        <f aca="false">IF(SUMPRODUCT((Отпуска!$A$5:$A$17=$A9)*(Отпуска!$B$5:$B$17&lt;=AT$5)*(Отпуска!$D$5:$D$17&gt;=AT$5))&gt;0,"О","")</f>
        <v/>
      </c>
      <c r="AU9" s="10" t="str">
        <f aca="false">IF(SUMPRODUCT((Отпуска!$A$5:$A$17=$A9)*(Отпуска!$B$5:$B$17&lt;=AU$5)*(Отпуска!$D$5:$D$17&gt;=AU$5))&gt;0,"О","")</f>
        <v/>
      </c>
      <c r="AV9" s="10" t="str">
        <f aca="false">IF(SUMPRODUCT((Отпуска!$A$5:$A$17=$A9)*(Отпуска!$B$5:$B$17&lt;=AV$5)*(Отпуска!$D$5:$D$17&gt;=AV$5))&gt;0,"О","")</f>
        <v/>
      </c>
      <c r="AW9" s="10" t="str">
        <f aca="false">IF(SUMPRODUCT((Отпуска!$A$5:$A$17=$A9)*(Отпуска!$B$5:$B$17&lt;=AW$5)*(Отпуска!$D$5:$D$17&gt;=AW$5))&gt;0,"О","")</f>
        <v/>
      </c>
      <c r="AX9" s="10" t="str">
        <f aca="false">IF(SUMPRODUCT((Отпуска!$A$5:$A$17=$A9)*(Отпуска!$B$5:$B$17&lt;=AX$5)*(Отпуска!$D$5:$D$17&gt;=AX$5))&gt;0,"О","")</f>
        <v/>
      </c>
      <c r="AY9" s="10" t="str">
        <f aca="false">IF(SUMPRODUCT((Отпуска!$A$5:$A$17=$A9)*(Отпуска!$B$5:$B$17&lt;=AY$5)*(Отпуска!$D$5:$D$17&gt;=AY$5))&gt;0,"О","")</f>
        <v/>
      </c>
      <c r="AZ9" s="10" t="str">
        <f aca="false">IF(SUMPRODUCT((Отпуска!$A$5:$A$17=$A9)*(Отпуска!$B$5:$B$17&lt;=AZ$5)*(Отпуска!$D$5:$D$17&gt;=AZ$5))&gt;0,"О","")</f>
        <v/>
      </c>
      <c r="BA9" s="10" t="str">
        <f aca="false">IF(SUMPRODUCT((Отпуска!$A$5:$A$17=$A9)*(Отпуска!$B$5:$B$17&lt;=BA$5)*(Отпуска!$D$5:$D$17&gt;=BA$5))&gt;0,"О","")</f>
        <v/>
      </c>
      <c r="BB9" s="10" t="str">
        <f aca="false">IF(SUMPRODUCT((Отпуска!$A$5:$A$17=$A9)*(Отпуска!$B$5:$B$17&lt;=BB$5)*(Отпуска!$D$5:$D$17&gt;=BB$5))&gt;0,"О","")</f>
        <v/>
      </c>
      <c r="BC9" s="10" t="str">
        <f aca="false">IF(SUMPRODUCT((Отпуска!$A$5:$A$17=$A9)*(Отпуска!$B$5:$B$17&lt;=BC$5)*(Отпуска!$D$5:$D$17&gt;=BC$5))&gt;0,"О","")</f>
        <v/>
      </c>
      <c r="BD9" s="10" t="str">
        <f aca="false">IF(SUMPRODUCT((Отпуска!$A$5:$A$17=$A9)*(Отпуска!$B$5:$B$17&lt;=BD$5)*(Отпуска!$D$5:$D$17&gt;=BD$5))&gt;0,"О","")</f>
        <v/>
      </c>
      <c r="BE9" s="10" t="str">
        <f aca="false">IF(SUMPRODUCT((Отпуска!$A$5:$A$17=$A9)*(Отпуска!$B$5:$B$17&lt;=BE$5)*(Отпуска!$D$5:$D$17&gt;=BE$5))&gt;0,"О","")</f>
        <v/>
      </c>
      <c r="BF9" s="10" t="str">
        <f aca="false">IF(SUMPRODUCT((Отпуска!$A$5:$A$17=$A9)*(Отпуска!$B$5:$B$17&lt;=BF$5)*(Отпуска!$D$5:$D$17&gt;=BF$5))&gt;0,"О","")</f>
        <v/>
      </c>
      <c r="BG9" s="10" t="str">
        <f aca="false">IF(SUMPRODUCT((Отпуска!$A$5:$A$17=$A9)*(Отпуска!$B$5:$B$17&lt;=BG$5)*(Отпуска!$D$5:$D$17&gt;=BG$5))&gt;0,"О","")</f>
        <v/>
      </c>
      <c r="BH9" s="10" t="str">
        <f aca="false">IF(SUMPRODUCT((Отпуска!$A$5:$A$17=$A9)*(Отпуска!$B$5:$B$17&lt;=BH$5)*(Отпуска!$D$5:$D$17&gt;=BH$5))&gt;0,"О","")</f>
        <v/>
      </c>
      <c r="BI9" s="10" t="str">
        <f aca="false">IF(SUMPRODUCT((Отпуска!$A$5:$A$17=$A9)*(Отпуска!$B$5:$B$17&lt;=BI$5)*(Отпуска!$D$5:$D$17&gt;=BI$5))&gt;0,"О","")</f>
        <v/>
      </c>
      <c r="BJ9" s="10" t="str">
        <f aca="false">IF(SUMPRODUCT((Отпуска!$A$5:$A$17=$A9)*(Отпуска!$B$5:$B$17&lt;=BJ$5)*(Отпуска!$D$5:$D$17&gt;=BJ$5))&gt;0,"О","")</f>
        <v/>
      </c>
      <c r="BK9" s="10" t="str">
        <f aca="false">IF(SUMPRODUCT((Отпуска!$A$5:$A$17=$A9)*(Отпуска!$B$5:$B$17&lt;=BK$5)*(Отпуска!$D$5:$D$17&gt;=BK$5))&gt;0,"О","")</f>
        <v/>
      </c>
      <c r="BL9" s="10" t="str">
        <f aca="false">IF(SUMPRODUCT((Отпуска!$A$5:$A$17=$A9)*(Отпуска!$B$5:$B$17&lt;=BL$5)*(Отпуска!$D$5:$D$17&gt;=BL$5))&gt;0,"О","")</f>
        <v/>
      </c>
      <c r="BM9" s="10" t="str">
        <f aca="false">IF(SUMPRODUCT((Отпуска!$A$5:$A$17=$A9)*(Отпуска!$B$5:$B$17&lt;=BM$5)*(Отпуска!$D$5:$D$17&gt;=BM$5))&gt;0,"О","")</f>
        <v/>
      </c>
      <c r="BN9" s="10" t="str">
        <f aca="false">IF(SUMPRODUCT((Отпуска!$A$5:$A$17=$A9)*(Отпуска!$B$5:$B$17&lt;=BN$5)*(Отпуска!$D$5:$D$17&gt;=BN$5))&gt;0,"О","")</f>
        <v/>
      </c>
      <c r="BO9" s="10" t="str">
        <f aca="false">IF(SUMPRODUCT((Отпуска!$A$5:$A$17=$A9)*(Отпуска!$B$5:$B$17&lt;=BO$5)*(Отпуска!$D$5:$D$17&gt;=BO$5))&gt;0,"О","")</f>
        <v/>
      </c>
      <c r="BP9" s="10" t="str">
        <f aca="false">IF(SUMPRODUCT((Отпуска!$A$5:$A$17=$A9)*(Отпуска!$B$5:$B$17&lt;=BP$5)*(Отпуска!$D$5:$D$17&gt;=BP$5))&gt;0,"О","")</f>
        <v/>
      </c>
      <c r="BQ9" s="10" t="str">
        <f aca="false">IF(SUMPRODUCT((Отпуска!$A$5:$A$17=$A9)*(Отпуска!$B$5:$B$17&lt;=BQ$5)*(Отпуска!$D$5:$D$17&gt;=BQ$5))&gt;0,"О","")</f>
        <v/>
      </c>
      <c r="BR9" s="10" t="str">
        <f aca="false">IF(SUMPRODUCT((Отпуска!$A$5:$A$17=$A9)*(Отпуска!$B$5:$B$17&lt;=BR$5)*(Отпуска!$D$5:$D$17&gt;=BR$5))&gt;0,"О","")</f>
        <v/>
      </c>
      <c r="BS9" s="10" t="str">
        <f aca="false">IF(SUMPRODUCT((Отпуска!$A$5:$A$17=$A9)*(Отпуска!$B$5:$B$17&lt;=BS$5)*(Отпуска!$D$5:$D$17&gt;=BS$5))&gt;0,"О","")</f>
        <v/>
      </c>
      <c r="BT9" s="10" t="str">
        <f aca="false">IF(SUMPRODUCT((Отпуска!$A$5:$A$17=$A9)*(Отпуска!$B$5:$B$17&lt;=BT$5)*(Отпуска!$D$5:$D$17&gt;=BT$5))&gt;0,"О","")</f>
        <v/>
      </c>
      <c r="BU9" s="10" t="str">
        <f aca="false">IF(SUMPRODUCT((Отпуска!$A$5:$A$17=$A9)*(Отпуска!$B$5:$B$17&lt;=BU$5)*(Отпуска!$D$5:$D$17&gt;=BU$5))&gt;0,"О","")</f>
        <v/>
      </c>
      <c r="BV9" s="10" t="str">
        <f aca="false">IF(SUMPRODUCT((Отпуска!$A$5:$A$17=$A9)*(Отпуска!$B$5:$B$17&lt;=BV$5)*(Отпуска!$D$5:$D$17&gt;=BV$5))&gt;0,"О","")</f>
        <v/>
      </c>
      <c r="BW9" s="10" t="str">
        <f aca="false">IF(SUMPRODUCT((Отпуска!$A$5:$A$17=$A9)*(Отпуска!$B$5:$B$17&lt;=BW$5)*(Отпуска!$D$5:$D$17&gt;=BW$5))&gt;0,"О","")</f>
        <v/>
      </c>
      <c r="BX9" s="10" t="str">
        <f aca="false">IF(SUMPRODUCT((Отпуска!$A$5:$A$17=$A9)*(Отпуска!$B$5:$B$17&lt;=BX$5)*(Отпуска!$D$5:$D$17&gt;=BX$5))&gt;0,"О","")</f>
        <v/>
      </c>
      <c r="BY9" s="10" t="str">
        <f aca="false">IF(SUMPRODUCT((Отпуска!$A$5:$A$17=$A9)*(Отпуска!$B$5:$B$17&lt;=BY$5)*(Отпуска!$D$5:$D$17&gt;=BY$5))&gt;0,"О","")</f>
        <v/>
      </c>
      <c r="BZ9" s="10" t="str">
        <f aca="false">IF(SUMPRODUCT((Отпуска!$A$5:$A$17=$A9)*(Отпуска!$B$5:$B$17&lt;=BZ$5)*(Отпуска!$D$5:$D$17&gt;=BZ$5))&gt;0,"О","")</f>
        <v/>
      </c>
      <c r="CA9" s="10" t="str">
        <f aca="false">IF(SUMPRODUCT((Отпуска!$A$5:$A$17=$A9)*(Отпуска!$B$5:$B$17&lt;=CA$5)*(Отпуска!$D$5:$D$17&gt;=CA$5))&gt;0,"О","")</f>
        <v/>
      </c>
      <c r="CB9" s="10" t="str">
        <f aca="false">IF(SUMPRODUCT((Отпуска!$A$5:$A$17=$A9)*(Отпуска!$B$5:$B$17&lt;=CB$5)*(Отпуска!$D$5:$D$17&gt;=CB$5))&gt;0,"О","")</f>
        <v/>
      </c>
      <c r="CC9" s="10" t="str">
        <f aca="false">IF(SUMPRODUCT((Отпуска!$A$5:$A$17=$A9)*(Отпуска!$B$5:$B$17&lt;=CC$5)*(Отпуска!$D$5:$D$17&gt;=CC$5))&gt;0,"О","")</f>
        <v/>
      </c>
      <c r="CD9" s="10" t="str">
        <f aca="false">IF(SUMPRODUCT((Отпуска!$A$5:$A$17=$A9)*(Отпуска!$B$5:$B$17&lt;=CD$5)*(Отпуска!$D$5:$D$17&gt;=CD$5))&gt;0,"О","")</f>
        <v/>
      </c>
      <c r="CE9" s="10" t="str">
        <f aca="false">IF(SUMPRODUCT((Отпуска!$A$5:$A$17=$A9)*(Отпуска!$B$5:$B$17&lt;=CE$5)*(Отпуска!$D$5:$D$17&gt;=CE$5))&gt;0,"О","")</f>
        <v/>
      </c>
      <c r="CF9" s="10" t="str">
        <f aca="false">IF(SUMPRODUCT((Отпуска!$A$5:$A$17=$A9)*(Отпуска!$B$5:$B$17&lt;=CF$5)*(Отпуска!$D$5:$D$17&gt;=CF$5))&gt;0,"О","")</f>
        <v>О</v>
      </c>
      <c r="CG9" s="10" t="str">
        <f aca="false">IF(SUMPRODUCT((Отпуска!$A$5:$A$17=$A9)*(Отпуска!$B$5:$B$17&lt;=CG$5)*(Отпуска!$D$5:$D$17&gt;=CG$5))&gt;0,"О","")</f>
        <v>О</v>
      </c>
      <c r="CH9" s="10" t="str">
        <f aca="false">IF(SUMPRODUCT((Отпуска!$A$5:$A$17=$A9)*(Отпуска!$B$5:$B$17&lt;=CH$5)*(Отпуска!$D$5:$D$17&gt;=CH$5))&gt;0,"О","")</f>
        <v>О</v>
      </c>
      <c r="CI9" s="10" t="str">
        <f aca="false">IF(SUMPRODUCT((Отпуска!$A$5:$A$17=$A9)*(Отпуска!$B$5:$B$17&lt;=CI$5)*(Отпуска!$D$5:$D$17&gt;=CI$5))&gt;0,"О","")</f>
        <v>О</v>
      </c>
      <c r="CJ9" s="10" t="str">
        <f aca="false">IF(SUMPRODUCT((Отпуска!$A$5:$A$17=$A9)*(Отпуска!$B$5:$B$17&lt;=CJ$5)*(Отпуска!$D$5:$D$17&gt;=CJ$5))&gt;0,"О","")</f>
        <v>О</v>
      </c>
      <c r="CK9" s="10" t="str">
        <f aca="false">IF(SUMPRODUCT((Отпуска!$A$5:$A$17=$A9)*(Отпуска!$B$5:$B$17&lt;=CK$5)*(Отпуска!$D$5:$D$17&gt;=CK$5))&gt;0,"О","")</f>
        <v>О</v>
      </c>
      <c r="CL9" s="10" t="str">
        <f aca="false">IF(SUMPRODUCT((Отпуска!$A$5:$A$17=$A9)*(Отпуска!$B$5:$B$17&lt;=CL$5)*(Отпуска!$D$5:$D$17&gt;=CL$5))&gt;0,"О","")</f>
        <v>О</v>
      </c>
      <c r="CM9" s="10" t="str">
        <f aca="false">IF(SUMPRODUCT((Отпуска!$A$5:$A$17=$A9)*(Отпуска!$B$5:$B$17&lt;=CM$5)*(Отпуска!$D$5:$D$17&gt;=CM$5))&gt;0,"О","")</f>
        <v/>
      </c>
      <c r="CN9" s="10" t="str">
        <f aca="false">IF(SUMPRODUCT((Отпуска!$A$5:$A$17=$A9)*(Отпуска!$B$5:$B$17&lt;=CN$5)*(Отпуска!$D$5:$D$17&gt;=CN$5))&gt;0,"О","")</f>
        <v/>
      </c>
      <c r="CO9" s="10" t="str">
        <f aca="false">IF(SUMPRODUCT((Отпуска!$A$5:$A$17=$A9)*(Отпуска!$B$5:$B$17&lt;=CO$5)*(Отпуска!$D$5:$D$17&gt;=CO$5))&gt;0,"О","")</f>
        <v/>
      </c>
      <c r="CP9" s="10" t="str">
        <f aca="false">IF(SUMPRODUCT((Отпуска!$A$5:$A$17=$A9)*(Отпуска!$B$5:$B$17&lt;=CP$5)*(Отпуска!$D$5:$D$17&gt;=CP$5))&gt;0,"О","")</f>
        <v/>
      </c>
      <c r="CQ9" s="10" t="str">
        <f aca="false">IF(SUMPRODUCT((Отпуска!$A$5:$A$17=$A9)*(Отпуска!$B$5:$B$17&lt;=CQ$5)*(Отпуска!$D$5:$D$17&gt;=CQ$5))&gt;0,"О","")</f>
        <v/>
      </c>
      <c r="CR9" s="10" t="str">
        <f aca="false">IF(SUMPRODUCT((Отпуска!$A$5:$A$17=$A9)*(Отпуска!$B$5:$B$17&lt;=CR$5)*(Отпуска!$D$5:$D$17&gt;=CR$5))&gt;0,"О","")</f>
        <v/>
      </c>
      <c r="CS9" s="10" t="str">
        <f aca="false">IF(SUMPRODUCT((Отпуска!$A$5:$A$17=$A9)*(Отпуска!$B$5:$B$17&lt;=CS$5)*(Отпуска!$D$5:$D$17&gt;=CS$5))&gt;0,"О","")</f>
        <v/>
      </c>
      <c r="CT9" s="10" t="str">
        <f aca="false">IF(SUMPRODUCT((Отпуска!$A$5:$A$17=$A9)*(Отпуска!$B$5:$B$17&lt;=CT$5)*(Отпуска!$D$5:$D$17&gt;=CT$5))&gt;0,"О","")</f>
        <v/>
      </c>
      <c r="CU9" s="10" t="str">
        <f aca="false">IF(SUMPRODUCT((Отпуска!$A$5:$A$17=$A9)*(Отпуска!$B$5:$B$17&lt;=CU$5)*(Отпуска!$D$5:$D$17&gt;=CU$5))&gt;0,"О","")</f>
        <v/>
      </c>
      <c r="CV9" s="10" t="str">
        <f aca="false">IF(SUMPRODUCT((Отпуска!$A$5:$A$17=$A9)*(Отпуска!$B$5:$B$17&lt;=CV$5)*(Отпуска!$D$5:$D$17&gt;=CV$5))&gt;0,"О","")</f>
        <v/>
      </c>
      <c r="CW9" s="10" t="str">
        <f aca="false">IF(SUMPRODUCT((Отпуска!$A$5:$A$17=$A9)*(Отпуска!$B$5:$B$17&lt;=CW$5)*(Отпуска!$D$5:$D$17&gt;=CW$5))&gt;0,"О","")</f>
        <v/>
      </c>
      <c r="CX9" s="10" t="str">
        <f aca="false">IF(SUMPRODUCT((Отпуска!$A$5:$A$17=$A9)*(Отпуска!$B$5:$B$17&lt;=CX$5)*(Отпуска!$D$5:$D$17&gt;=CX$5))&gt;0,"О","")</f>
        <v/>
      </c>
      <c r="CY9" s="10" t="str">
        <f aca="false">IF(SUMPRODUCT((Отпуска!$A$5:$A$17=$A9)*(Отпуска!$B$5:$B$17&lt;=CY$5)*(Отпуска!$D$5:$D$17&gt;=CY$5))&gt;0,"О","")</f>
        <v/>
      </c>
      <c r="CZ9" s="10" t="str">
        <f aca="false">IF(SUMPRODUCT((Отпуска!$A$5:$A$17=$A9)*(Отпуска!$B$5:$B$17&lt;=CZ$5)*(Отпуска!$D$5:$D$17&gt;=CZ$5))&gt;0,"О","")</f>
        <v/>
      </c>
      <c r="DA9" s="10" t="str">
        <f aca="false">IF(SUMPRODUCT((Отпуска!$A$5:$A$17=$A9)*(Отпуска!$B$5:$B$17&lt;=DA$5)*(Отпуска!$D$5:$D$17&gt;=DA$5))&gt;0,"О","")</f>
        <v/>
      </c>
      <c r="DB9" s="10" t="str">
        <f aca="false">IF(SUMPRODUCT((Отпуска!$A$5:$A$17=$A9)*(Отпуска!$B$5:$B$17&lt;=DB$5)*(Отпуска!$D$5:$D$17&gt;=DB$5))&gt;0,"О","")</f>
        <v/>
      </c>
      <c r="DC9" s="10" t="str">
        <f aca="false">IF(SUMPRODUCT((Отпуска!$A$5:$A$17=$A9)*(Отпуска!$B$5:$B$17&lt;=DC$5)*(Отпуска!$D$5:$D$17&gt;=DC$5))&gt;0,"О","")</f>
        <v/>
      </c>
      <c r="DD9" s="10" t="str">
        <f aca="false">IF(SUMPRODUCT((Отпуска!$A$5:$A$17=$A9)*(Отпуска!$B$5:$B$17&lt;=DD$5)*(Отпуска!$D$5:$D$17&gt;=DD$5))&gt;0,"О","")</f>
        <v/>
      </c>
      <c r="DE9" s="10" t="str">
        <f aca="false">IF(SUMPRODUCT((Отпуска!$A$5:$A$17=$A9)*(Отпуска!$B$5:$B$17&lt;=DE$5)*(Отпуска!$D$5:$D$17&gt;=DE$5))&gt;0,"О","")</f>
        <v/>
      </c>
      <c r="DF9" s="10" t="str">
        <f aca="false">IF(SUMPRODUCT((Отпуска!$A$5:$A$17=$A9)*(Отпуска!$B$5:$B$17&lt;=DF$5)*(Отпуска!$D$5:$D$17&gt;=DF$5))&gt;0,"О","")</f>
        <v/>
      </c>
      <c r="DG9" s="10" t="str">
        <f aca="false">IF(SUMPRODUCT((Отпуска!$A$5:$A$17=$A9)*(Отпуска!$B$5:$B$17&lt;=DG$5)*(Отпуска!$D$5:$D$17&gt;=DG$5))&gt;0,"О","")</f>
        <v/>
      </c>
      <c r="DH9" s="10" t="str">
        <f aca="false">IF(SUMPRODUCT((Отпуска!$A$5:$A$17=$A9)*(Отпуска!$B$5:$B$17&lt;=DH$5)*(Отпуска!$D$5:$D$17&gt;=DH$5))&gt;0,"О","")</f>
        <v/>
      </c>
      <c r="DI9" s="10" t="str">
        <f aca="false">IF(SUMPRODUCT((Отпуска!$A$5:$A$17=$A9)*(Отпуска!$B$5:$B$17&lt;=DI$5)*(Отпуска!$D$5:$D$17&gt;=DI$5))&gt;0,"О","")</f>
        <v/>
      </c>
      <c r="DJ9" s="10" t="str">
        <f aca="false">IF(SUMPRODUCT((Отпуска!$A$5:$A$17=$A9)*(Отпуска!$B$5:$B$17&lt;=DJ$5)*(Отпуска!$D$5:$D$17&gt;=DJ$5))&gt;0,"О","")</f>
        <v/>
      </c>
      <c r="DK9" s="10" t="str">
        <f aca="false">IF(SUMPRODUCT((Отпуска!$A$5:$A$17=$A9)*(Отпуска!$B$5:$B$17&lt;=DK$5)*(Отпуска!$D$5:$D$17&gt;=DK$5))&gt;0,"О","")</f>
        <v/>
      </c>
      <c r="DL9" s="10" t="str">
        <f aca="false">IF(SUMPRODUCT((Отпуска!$A$5:$A$17=$A9)*(Отпуска!$B$5:$B$17&lt;=DL$5)*(Отпуска!$D$5:$D$17&gt;=DL$5))&gt;0,"О","")</f>
        <v/>
      </c>
      <c r="DM9" s="10" t="str">
        <f aca="false">IF(SUMPRODUCT((Отпуска!$A$5:$A$17=$A9)*(Отпуска!$B$5:$B$17&lt;=DM$5)*(Отпуска!$D$5:$D$17&gt;=DM$5))&gt;0,"О","")</f>
        <v/>
      </c>
      <c r="DN9" s="10" t="str">
        <f aca="false">IF(SUMPRODUCT((Отпуска!$A$5:$A$17=$A9)*(Отпуска!$B$5:$B$17&lt;=DN$5)*(Отпуска!$D$5:$D$17&gt;=DN$5))&gt;0,"О","")</f>
        <v/>
      </c>
      <c r="DO9" s="10" t="str">
        <f aca="false">IF(SUMPRODUCT((Отпуска!$A$5:$A$17=$A9)*(Отпуска!$B$5:$B$17&lt;=DO$5)*(Отпуска!$D$5:$D$17&gt;=DO$5))&gt;0,"О","")</f>
        <v/>
      </c>
      <c r="DP9" s="10" t="str">
        <f aca="false">IF(SUMPRODUCT((Отпуска!$A$5:$A$17=$A9)*(Отпуска!$B$5:$B$17&lt;=DP$5)*(Отпуска!$D$5:$D$17&gt;=DP$5))&gt;0,"О","")</f>
        <v/>
      </c>
      <c r="DQ9" s="10" t="str">
        <f aca="false">IF(SUMPRODUCT((Отпуска!$A$5:$A$17=$A9)*(Отпуска!$B$5:$B$17&lt;=DQ$5)*(Отпуска!$D$5:$D$17&gt;=DQ$5))&gt;0,"О","")</f>
        <v/>
      </c>
      <c r="DR9" s="10" t="str">
        <f aca="false">IF(SUMPRODUCT((Отпуска!$A$5:$A$17=$A9)*(Отпуска!$B$5:$B$17&lt;=DR$5)*(Отпуска!$D$5:$D$17&gt;=DR$5))&gt;0,"О","")</f>
        <v/>
      </c>
      <c r="DS9" s="10" t="str">
        <f aca="false">IF(SUMPRODUCT((Отпуска!$A$5:$A$17=$A9)*(Отпуска!$B$5:$B$17&lt;=DS$5)*(Отпуска!$D$5:$D$17&gt;=DS$5))&gt;0,"О","")</f>
        <v/>
      </c>
      <c r="DT9" s="10" t="str">
        <f aca="false">IF(SUMPRODUCT((Отпуска!$A$5:$A$17=$A9)*(Отпуска!$B$5:$B$17&lt;=DT$5)*(Отпуска!$D$5:$D$17&gt;=DT$5))&gt;0,"О","")</f>
        <v/>
      </c>
      <c r="DU9" s="10" t="str">
        <f aca="false">IF(SUMPRODUCT((Отпуска!$A$5:$A$17=$A9)*(Отпуска!$B$5:$B$17&lt;=DU$5)*(Отпуска!$D$5:$D$17&gt;=DU$5))&gt;0,"О","")</f>
        <v/>
      </c>
      <c r="DV9" s="10" t="str">
        <f aca="false">IF(SUMPRODUCT((Отпуска!$A$5:$A$17=$A9)*(Отпуска!$B$5:$B$17&lt;=DV$5)*(Отпуска!$D$5:$D$17&gt;=DV$5))&gt;0,"О","")</f>
        <v/>
      </c>
      <c r="DW9" s="10" t="str">
        <f aca="false">IF(SUMPRODUCT((Отпуска!$A$5:$A$17=$A9)*(Отпуска!$B$5:$B$17&lt;=DW$5)*(Отпуска!$D$5:$D$17&gt;=DW$5))&gt;0,"О","")</f>
        <v/>
      </c>
      <c r="DX9" s="10" t="str">
        <f aca="false">IF(SUMPRODUCT((Отпуска!$A$5:$A$17=$A9)*(Отпуска!$B$5:$B$17&lt;=DX$5)*(Отпуска!$D$5:$D$17&gt;=DX$5))&gt;0,"О","")</f>
        <v/>
      </c>
      <c r="DY9" s="10" t="str">
        <f aca="false">IF(SUMPRODUCT((Отпуска!$A$5:$A$17=$A9)*(Отпуска!$B$5:$B$17&lt;=DY$5)*(Отпуска!$D$5:$D$17&gt;=DY$5))&gt;0,"О","")</f>
        <v/>
      </c>
      <c r="DZ9" s="10" t="str">
        <f aca="false">IF(SUMPRODUCT((Отпуска!$A$5:$A$17=$A9)*(Отпуска!$B$5:$B$17&lt;=DZ$5)*(Отпуска!$D$5:$D$17&gt;=DZ$5))&gt;0,"О","")</f>
        <v/>
      </c>
      <c r="EA9" s="10" t="str">
        <f aca="false">IF(SUMPRODUCT((Отпуска!$A$5:$A$17=$A9)*(Отпуска!$B$5:$B$17&lt;=EA$5)*(Отпуска!$D$5:$D$17&gt;=EA$5))&gt;0,"О","")</f>
        <v/>
      </c>
      <c r="EB9" s="10" t="str">
        <f aca="false">IF(SUMPRODUCT((Отпуска!$A$5:$A$17=$A9)*(Отпуска!$B$5:$B$17&lt;=EB$5)*(Отпуска!$D$5:$D$17&gt;=EB$5))&gt;0,"О","")</f>
        <v/>
      </c>
      <c r="EC9" s="10" t="str">
        <f aca="false">IF(SUMPRODUCT((Отпуска!$A$5:$A$17=$A9)*(Отпуска!$B$5:$B$17&lt;=EC$5)*(Отпуска!$D$5:$D$17&gt;=EC$5))&gt;0,"О","")</f>
        <v/>
      </c>
      <c r="ED9" s="10" t="str">
        <f aca="false">IF(SUMPRODUCT((Отпуска!$A$5:$A$17=$A9)*(Отпуска!$B$5:$B$17&lt;=ED$5)*(Отпуска!$D$5:$D$17&gt;=ED$5))&gt;0,"О","")</f>
        <v/>
      </c>
      <c r="EE9" s="10" t="str">
        <f aca="false">IF(SUMPRODUCT((Отпуска!$A$5:$A$17=$A9)*(Отпуска!$B$5:$B$17&lt;=EE$5)*(Отпуска!$D$5:$D$17&gt;=EE$5))&gt;0,"О","")</f>
        <v/>
      </c>
      <c r="EF9" s="10" t="str">
        <f aca="false">IF(SUMPRODUCT((Отпуска!$A$5:$A$17=$A9)*(Отпуска!$B$5:$B$17&lt;=EF$5)*(Отпуска!$D$5:$D$17&gt;=EF$5))&gt;0,"О","")</f>
        <v/>
      </c>
      <c r="EG9" s="10" t="str">
        <f aca="false">IF(SUMPRODUCT((Отпуска!$A$5:$A$17=$A9)*(Отпуска!$B$5:$B$17&lt;=EG$5)*(Отпуска!$D$5:$D$17&gt;=EG$5))&gt;0,"О","")</f>
        <v/>
      </c>
      <c r="EH9" s="10" t="str">
        <f aca="false">IF(SUMPRODUCT((Отпуска!$A$5:$A$17=$A9)*(Отпуска!$B$5:$B$17&lt;=EH$5)*(Отпуска!$D$5:$D$17&gt;=EH$5))&gt;0,"О","")</f>
        <v/>
      </c>
      <c r="EI9" s="10" t="str">
        <f aca="false">IF(SUMPRODUCT((Отпуска!$A$5:$A$17=$A9)*(Отпуска!$B$5:$B$17&lt;=EI$5)*(Отпуска!$D$5:$D$17&gt;=EI$5))&gt;0,"О","")</f>
        <v/>
      </c>
      <c r="EJ9" s="10" t="str">
        <f aca="false">IF(SUMPRODUCT((Отпуска!$A$5:$A$17=$A9)*(Отпуска!$B$5:$B$17&lt;=EJ$5)*(Отпуска!$D$5:$D$17&gt;=EJ$5))&gt;0,"О","")</f>
        <v/>
      </c>
      <c r="EK9" s="10" t="str">
        <f aca="false">IF(SUMPRODUCT((Отпуска!$A$5:$A$17=$A9)*(Отпуска!$B$5:$B$17&lt;=EK$5)*(Отпуска!$D$5:$D$17&gt;=EK$5))&gt;0,"О","")</f>
        <v/>
      </c>
      <c r="EL9" s="10" t="str">
        <f aca="false">IF(SUMPRODUCT((Отпуска!$A$5:$A$17=$A9)*(Отпуска!$B$5:$B$17&lt;=EL$5)*(Отпуска!$D$5:$D$17&gt;=EL$5))&gt;0,"О","")</f>
        <v/>
      </c>
      <c r="EM9" s="10" t="str">
        <f aca="false">IF(SUMPRODUCT((Отпуска!$A$5:$A$17=$A9)*(Отпуска!$B$5:$B$17&lt;=EM$5)*(Отпуска!$D$5:$D$17&gt;=EM$5))&gt;0,"О","")</f>
        <v/>
      </c>
      <c r="EN9" s="10" t="str">
        <f aca="false">IF(SUMPRODUCT((Отпуска!$A$5:$A$17=$A9)*(Отпуска!$B$5:$B$17&lt;=EN$5)*(Отпуска!$D$5:$D$17&gt;=EN$5))&gt;0,"О","")</f>
        <v/>
      </c>
      <c r="EO9" s="10" t="str">
        <f aca="false">IF(SUMPRODUCT((Отпуска!$A$5:$A$17=$A9)*(Отпуска!$B$5:$B$17&lt;=EO$5)*(Отпуска!$D$5:$D$17&gt;=EO$5))&gt;0,"О","")</f>
        <v/>
      </c>
      <c r="EP9" s="10" t="str">
        <f aca="false">IF(SUMPRODUCT((Отпуска!$A$5:$A$17=$A9)*(Отпуска!$B$5:$B$17&lt;=EP$5)*(Отпуска!$D$5:$D$17&gt;=EP$5))&gt;0,"О","")</f>
        <v/>
      </c>
      <c r="EQ9" s="10" t="str">
        <f aca="false">IF(SUMPRODUCT((Отпуска!$A$5:$A$17=$A9)*(Отпуска!$B$5:$B$17&lt;=EQ$5)*(Отпуска!$D$5:$D$17&gt;=EQ$5))&gt;0,"О","")</f>
        <v/>
      </c>
      <c r="ER9" s="10" t="str">
        <f aca="false">IF(SUMPRODUCT((Отпуска!$A$5:$A$17=$A9)*(Отпуска!$B$5:$B$17&lt;=ER$5)*(Отпуска!$D$5:$D$17&gt;=ER$5))&gt;0,"О","")</f>
        <v/>
      </c>
      <c r="ES9" s="10" t="str">
        <f aca="false">IF(SUMPRODUCT((Отпуска!$A$5:$A$17=$A9)*(Отпуска!$B$5:$B$17&lt;=ES$5)*(Отпуска!$D$5:$D$17&gt;=ES$5))&gt;0,"О","")</f>
        <v/>
      </c>
      <c r="ET9" s="10" t="str">
        <f aca="false">IF(SUMPRODUCT((Отпуска!$A$5:$A$17=$A9)*(Отпуска!$B$5:$B$17&lt;=ET$5)*(Отпуска!$D$5:$D$17&gt;=ET$5))&gt;0,"О","")</f>
        <v/>
      </c>
      <c r="EU9" s="10" t="str">
        <f aca="false">IF(SUMPRODUCT((Отпуска!$A$5:$A$17=$A9)*(Отпуска!$B$5:$B$17&lt;=EU$5)*(Отпуска!$D$5:$D$17&gt;=EU$5))&gt;0,"О","")</f>
        <v/>
      </c>
      <c r="EV9" s="10" t="str">
        <f aca="false">IF(SUMPRODUCT((Отпуска!$A$5:$A$17=$A9)*(Отпуска!$B$5:$B$17&lt;=EV$5)*(Отпуска!$D$5:$D$17&gt;=EV$5))&gt;0,"О","")</f>
        <v/>
      </c>
      <c r="EW9" s="10" t="str">
        <f aca="false">IF(SUMPRODUCT((Отпуска!$A$5:$A$17=$A9)*(Отпуска!$B$5:$B$17&lt;=EW$5)*(Отпуска!$D$5:$D$17&gt;=EW$5))&gt;0,"О","")</f>
        <v/>
      </c>
      <c r="EX9" s="10" t="str">
        <f aca="false">IF(SUMPRODUCT((Отпуска!$A$5:$A$17=$A9)*(Отпуска!$B$5:$B$17&lt;=EX$5)*(Отпуска!$D$5:$D$17&gt;=EX$5))&gt;0,"О","")</f>
        <v/>
      </c>
      <c r="EY9" s="10" t="str">
        <f aca="false">IF(SUMPRODUCT((Отпуска!$A$5:$A$17=$A9)*(Отпуска!$B$5:$B$17&lt;=EY$5)*(Отпуска!$D$5:$D$17&gt;=EY$5))&gt;0,"О","")</f>
        <v/>
      </c>
      <c r="EZ9" s="10" t="str">
        <f aca="false">IF(SUMPRODUCT((Отпуска!$A$5:$A$17=$A9)*(Отпуска!$B$5:$B$17&lt;=EZ$5)*(Отпуска!$D$5:$D$17&gt;=EZ$5))&gt;0,"О","")</f>
        <v/>
      </c>
      <c r="FA9" s="10" t="str">
        <f aca="false">IF(SUMPRODUCT((Отпуска!$A$5:$A$17=$A9)*(Отпуска!$B$5:$B$17&lt;=FA$5)*(Отпуска!$D$5:$D$17&gt;=FA$5))&gt;0,"О","")</f>
        <v/>
      </c>
      <c r="FB9" s="10" t="str">
        <f aca="false">IF(SUMPRODUCT((Отпуска!$A$5:$A$17=$A9)*(Отпуска!$B$5:$B$17&lt;=FB$5)*(Отпуска!$D$5:$D$17&gt;=FB$5))&gt;0,"О","")</f>
        <v/>
      </c>
      <c r="FC9" s="10" t="str">
        <f aca="false">IF(SUMPRODUCT((Отпуска!$A$5:$A$17=$A9)*(Отпуска!$B$5:$B$17&lt;=FC$5)*(Отпуска!$D$5:$D$17&gt;=FC$5))&gt;0,"О","")</f>
        <v/>
      </c>
      <c r="FD9" s="10" t="str">
        <f aca="false">IF(SUMPRODUCT((Отпуска!$A$5:$A$17=$A9)*(Отпуска!$B$5:$B$17&lt;=FD$5)*(Отпуска!$D$5:$D$17&gt;=FD$5))&gt;0,"О","")</f>
        <v/>
      </c>
      <c r="FE9" s="10" t="str">
        <f aca="false">IF(SUMPRODUCT((Отпуска!$A$5:$A$17=$A9)*(Отпуска!$B$5:$B$17&lt;=FE$5)*(Отпуска!$D$5:$D$17&gt;=FE$5))&gt;0,"О","")</f>
        <v/>
      </c>
      <c r="FF9" s="10" t="str">
        <f aca="false">IF(SUMPRODUCT((Отпуска!$A$5:$A$17=$A9)*(Отпуска!$B$5:$B$17&lt;=FF$5)*(Отпуска!$D$5:$D$17&gt;=FF$5))&gt;0,"О","")</f>
        <v/>
      </c>
      <c r="FG9" s="10" t="str">
        <f aca="false">IF(SUMPRODUCT((Отпуска!$A$5:$A$17=$A9)*(Отпуска!$B$5:$B$17&lt;=FG$5)*(Отпуска!$D$5:$D$17&gt;=FG$5))&gt;0,"О","")</f>
        <v/>
      </c>
      <c r="FH9" s="10" t="str">
        <f aca="false">IF(SUMPRODUCT((Отпуска!$A$5:$A$17=$A9)*(Отпуска!$B$5:$B$17&lt;=FH$5)*(Отпуска!$D$5:$D$17&gt;=FH$5))&gt;0,"О","")</f>
        <v/>
      </c>
      <c r="FI9" s="10" t="str">
        <f aca="false">IF(SUMPRODUCT((Отпуска!$A$5:$A$17=$A9)*(Отпуска!$B$5:$B$17&lt;=FI$5)*(Отпуска!$D$5:$D$17&gt;=FI$5))&gt;0,"О","")</f>
        <v/>
      </c>
      <c r="FJ9" s="10" t="str">
        <f aca="false">IF(SUMPRODUCT((Отпуска!$A$5:$A$17=$A9)*(Отпуска!$B$5:$B$17&lt;=FJ$5)*(Отпуска!$D$5:$D$17&gt;=FJ$5))&gt;0,"О","")</f>
        <v/>
      </c>
      <c r="FK9" s="10" t="str">
        <f aca="false">IF(SUMPRODUCT((Отпуска!$A$5:$A$17=$A9)*(Отпуска!$B$5:$B$17&lt;=FK$5)*(Отпуска!$D$5:$D$17&gt;=FK$5))&gt;0,"О","")</f>
        <v/>
      </c>
      <c r="FL9" s="10" t="str">
        <f aca="false">IF(SUMPRODUCT((Отпуска!$A$5:$A$17=$A9)*(Отпуска!$B$5:$B$17&lt;=FL$5)*(Отпуска!$D$5:$D$17&gt;=FL$5))&gt;0,"О","")</f>
        <v/>
      </c>
      <c r="FM9" s="10" t="str">
        <f aca="false">IF(SUMPRODUCT((Отпуска!$A$5:$A$17=$A9)*(Отпуска!$B$5:$B$17&lt;=FM$5)*(Отпуска!$D$5:$D$17&gt;=FM$5))&gt;0,"О","")</f>
        <v/>
      </c>
      <c r="FN9" s="10" t="str">
        <f aca="false">IF(SUMPRODUCT((Отпуска!$A$5:$A$17=$A9)*(Отпуска!$B$5:$B$17&lt;=FN$5)*(Отпуска!$D$5:$D$17&gt;=FN$5))&gt;0,"О","")</f>
        <v/>
      </c>
      <c r="FO9" s="10" t="str">
        <f aca="false">IF(SUMPRODUCT((Отпуска!$A$5:$A$17=$A9)*(Отпуска!$B$5:$B$17&lt;=FO$5)*(Отпуска!$D$5:$D$17&gt;=FO$5))&gt;0,"О","")</f>
        <v/>
      </c>
      <c r="FP9" s="10" t="str">
        <f aca="false">IF(SUMPRODUCT((Отпуска!$A$5:$A$17=$A9)*(Отпуска!$B$5:$B$17&lt;=FP$5)*(Отпуска!$D$5:$D$17&gt;=FP$5))&gt;0,"О","")</f>
        <v/>
      </c>
      <c r="FQ9" s="10" t="str">
        <f aca="false">IF(SUMPRODUCT((Отпуска!$A$5:$A$17=$A9)*(Отпуска!$B$5:$B$17&lt;=FQ$5)*(Отпуска!$D$5:$D$17&gt;=FQ$5))&gt;0,"О","")</f>
        <v/>
      </c>
      <c r="FR9" s="10" t="str">
        <f aca="false">IF(SUMPRODUCT((Отпуска!$A$5:$A$17=$A9)*(Отпуска!$B$5:$B$17&lt;=FR$5)*(Отпуска!$D$5:$D$17&gt;=FR$5))&gt;0,"О","")</f>
        <v/>
      </c>
      <c r="FS9" s="10" t="str">
        <f aca="false">IF(SUMPRODUCT((Отпуска!$A$5:$A$17=$A9)*(Отпуска!$B$5:$B$17&lt;=FS$5)*(Отпуска!$D$5:$D$17&gt;=FS$5))&gt;0,"О","")</f>
        <v/>
      </c>
      <c r="FT9" s="10" t="str">
        <f aca="false">IF(SUMPRODUCT((Отпуска!$A$5:$A$17=$A9)*(Отпуска!$B$5:$B$17&lt;=FT$5)*(Отпуска!$D$5:$D$17&gt;=FT$5))&gt;0,"О","")</f>
        <v/>
      </c>
      <c r="FU9" s="10" t="str">
        <f aca="false">IF(SUMPRODUCT((Отпуска!$A$5:$A$17=$A9)*(Отпуска!$B$5:$B$17&lt;=FU$5)*(Отпуска!$D$5:$D$17&gt;=FU$5))&gt;0,"О","")</f>
        <v/>
      </c>
      <c r="FV9" s="10" t="str">
        <f aca="false">IF(SUMPRODUCT((Отпуска!$A$5:$A$17=$A9)*(Отпуска!$B$5:$B$17&lt;=FV$5)*(Отпуска!$D$5:$D$17&gt;=FV$5))&gt;0,"О","")</f>
        <v/>
      </c>
      <c r="FW9" s="10" t="str">
        <f aca="false">IF(SUMPRODUCT((Отпуска!$A$5:$A$17=$A9)*(Отпуска!$B$5:$B$17&lt;=FW$5)*(Отпуска!$D$5:$D$17&gt;=FW$5))&gt;0,"О","")</f>
        <v/>
      </c>
      <c r="FX9" s="10" t="str">
        <f aca="false">IF(SUMPRODUCT((Отпуска!$A$5:$A$17=$A9)*(Отпуска!$B$5:$B$17&lt;=FX$5)*(Отпуска!$D$5:$D$17&gt;=FX$5))&gt;0,"О","")</f>
        <v/>
      </c>
      <c r="FY9" s="10" t="str">
        <f aca="false">IF(SUMPRODUCT((Отпуска!$A$5:$A$17=$A9)*(Отпуска!$B$5:$B$17&lt;=FY$5)*(Отпуска!$D$5:$D$17&gt;=FY$5))&gt;0,"О","")</f>
        <v/>
      </c>
      <c r="FZ9" s="10" t="str">
        <f aca="false">IF(SUMPRODUCT((Отпуска!$A$5:$A$17=$A9)*(Отпуска!$B$5:$B$17&lt;=FZ$5)*(Отпуска!$D$5:$D$17&gt;=FZ$5))&gt;0,"О","")</f>
        <v/>
      </c>
      <c r="GA9" s="10" t="str">
        <f aca="false">IF(SUMPRODUCT((Отпуска!$A$5:$A$17=$A9)*(Отпуска!$B$5:$B$17&lt;=GA$5)*(Отпуска!$D$5:$D$17&gt;=GA$5))&gt;0,"О","")</f>
        <v/>
      </c>
      <c r="GB9" s="10" t="str">
        <f aca="false">IF(SUMPRODUCT((Отпуска!$A$5:$A$17=$A9)*(Отпуска!$B$5:$B$17&lt;=GB$5)*(Отпуска!$D$5:$D$17&gt;=GB$5))&gt;0,"О","")</f>
        <v/>
      </c>
      <c r="GC9" s="10" t="str">
        <f aca="false">IF(SUMPRODUCT((Отпуска!$A$5:$A$17=$A9)*(Отпуска!$B$5:$B$17&lt;=GC$5)*(Отпуска!$D$5:$D$17&gt;=GC$5))&gt;0,"О","")</f>
        <v/>
      </c>
      <c r="GD9" s="10" t="str">
        <f aca="false">IF(SUMPRODUCT((Отпуска!$A$5:$A$17=$A9)*(Отпуска!$B$5:$B$17&lt;=GD$5)*(Отпуска!$D$5:$D$17&gt;=GD$5))&gt;0,"О","")</f>
        <v/>
      </c>
      <c r="GE9" s="10" t="str">
        <f aca="false">IF(SUMPRODUCT((Отпуска!$A$5:$A$17=$A9)*(Отпуска!$B$5:$B$17&lt;=GE$5)*(Отпуска!$D$5:$D$17&gt;=GE$5))&gt;0,"О","")</f>
        <v/>
      </c>
      <c r="GF9" s="10" t="str">
        <f aca="false">IF(SUMPRODUCT((Отпуска!$A$5:$A$17=$A9)*(Отпуска!$B$5:$B$17&lt;=GF$5)*(Отпуска!$D$5:$D$17&gt;=GF$5))&gt;0,"О","")</f>
        <v/>
      </c>
      <c r="GG9" s="10" t="str">
        <f aca="false">IF(SUMPRODUCT((Отпуска!$A$5:$A$17=$A9)*(Отпуска!$B$5:$B$17&lt;=GG$5)*(Отпуска!$D$5:$D$17&gt;=GG$5))&gt;0,"О","")</f>
        <v/>
      </c>
      <c r="GH9" s="10" t="str">
        <f aca="false">IF(SUMPRODUCT((Отпуска!$A$5:$A$17=$A9)*(Отпуска!$B$5:$B$17&lt;=GH$5)*(Отпуска!$D$5:$D$17&gt;=GH$5))&gt;0,"О","")</f>
        <v/>
      </c>
      <c r="GI9" s="10" t="str">
        <f aca="false">IF(SUMPRODUCT((Отпуска!$A$5:$A$17=$A9)*(Отпуска!$B$5:$B$17&lt;=GI$5)*(Отпуска!$D$5:$D$17&gt;=GI$5))&gt;0,"О","")</f>
        <v/>
      </c>
      <c r="GJ9" s="10" t="str">
        <f aca="false">IF(SUMPRODUCT((Отпуска!$A$5:$A$17=$A9)*(Отпуска!$B$5:$B$17&lt;=GJ$5)*(Отпуска!$D$5:$D$17&gt;=GJ$5))&gt;0,"О","")</f>
        <v/>
      </c>
      <c r="GK9" s="10" t="str">
        <f aca="false">IF(SUMPRODUCT((Отпуска!$A$5:$A$17=$A9)*(Отпуска!$B$5:$B$17&lt;=GK$5)*(Отпуска!$D$5:$D$17&gt;=GK$5))&gt;0,"О","")</f>
        <v/>
      </c>
      <c r="GL9" s="10" t="str">
        <f aca="false">IF(SUMPRODUCT((Отпуска!$A$5:$A$17=$A9)*(Отпуска!$B$5:$B$17&lt;=GL$5)*(Отпуска!$D$5:$D$17&gt;=GL$5))&gt;0,"О","")</f>
        <v/>
      </c>
      <c r="GM9" s="10" t="str">
        <f aca="false">IF(SUMPRODUCT((Отпуска!$A$5:$A$17=$A9)*(Отпуска!$B$5:$B$17&lt;=GM$5)*(Отпуска!$D$5:$D$17&gt;=GM$5))&gt;0,"О","")</f>
        <v/>
      </c>
      <c r="GN9" s="10" t="str">
        <f aca="false">IF(SUMPRODUCT((Отпуска!$A$5:$A$17=$A9)*(Отпуска!$B$5:$B$17&lt;=GN$5)*(Отпуска!$D$5:$D$17&gt;=GN$5))&gt;0,"О","")</f>
        <v>О</v>
      </c>
      <c r="GO9" s="10" t="str">
        <f aca="false">IF(SUMPRODUCT((Отпуска!$A$5:$A$17=$A9)*(Отпуска!$B$5:$B$17&lt;=GO$5)*(Отпуска!$D$5:$D$17&gt;=GO$5))&gt;0,"О","")</f>
        <v>О</v>
      </c>
      <c r="GP9" s="10" t="str">
        <f aca="false">IF(SUMPRODUCT((Отпуска!$A$5:$A$17=$A9)*(Отпуска!$B$5:$B$17&lt;=GP$5)*(Отпуска!$D$5:$D$17&gt;=GP$5))&gt;0,"О","")</f>
        <v>О</v>
      </c>
      <c r="GQ9" s="10" t="str">
        <f aca="false">IF(SUMPRODUCT((Отпуска!$A$5:$A$17=$A9)*(Отпуска!$B$5:$B$17&lt;=GQ$5)*(Отпуска!$D$5:$D$17&gt;=GQ$5))&gt;0,"О","")</f>
        <v>О</v>
      </c>
      <c r="GR9" s="10" t="str">
        <f aca="false">IF(SUMPRODUCT((Отпуска!$A$5:$A$17=$A9)*(Отпуска!$B$5:$B$17&lt;=GR$5)*(Отпуска!$D$5:$D$17&gt;=GR$5))&gt;0,"О","")</f>
        <v>О</v>
      </c>
      <c r="GS9" s="10" t="str">
        <f aca="false">IF(SUMPRODUCT((Отпуска!$A$5:$A$17=$A9)*(Отпуска!$B$5:$B$17&lt;=GS$5)*(Отпуска!$D$5:$D$17&gt;=GS$5))&gt;0,"О","")</f>
        <v>О</v>
      </c>
      <c r="GT9" s="10" t="str">
        <f aca="false">IF(SUMPRODUCT((Отпуска!$A$5:$A$17=$A9)*(Отпуска!$B$5:$B$17&lt;=GT$5)*(Отпуска!$D$5:$D$17&gt;=GT$5))&gt;0,"О","")</f>
        <v>О</v>
      </c>
      <c r="GU9" s="10" t="str">
        <f aca="false">IF(SUMPRODUCT((Отпуска!$A$5:$A$17=$A9)*(Отпуска!$B$5:$B$17&lt;=GU$5)*(Отпуска!$D$5:$D$17&gt;=GU$5))&gt;0,"О","")</f>
        <v>О</v>
      </c>
      <c r="GV9" s="10" t="str">
        <f aca="false">IF(SUMPRODUCT((Отпуска!$A$5:$A$17=$A9)*(Отпуска!$B$5:$B$17&lt;=GV$5)*(Отпуска!$D$5:$D$17&gt;=GV$5))&gt;0,"О","")</f>
        <v>О</v>
      </c>
      <c r="GW9" s="10" t="str">
        <f aca="false">IF(SUMPRODUCT((Отпуска!$A$5:$A$17=$A9)*(Отпуска!$B$5:$B$17&lt;=GW$5)*(Отпуска!$D$5:$D$17&gt;=GW$5))&gt;0,"О","")</f>
        <v>О</v>
      </c>
      <c r="GX9" s="10" t="str">
        <f aca="false">IF(SUMPRODUCT((Отпуска!$A$5:$A$17=$A9)*(Отпуска!$B$5:$B$17&lt;=GX$5)*(Отпуска!$D$5:$D$17&gt;=GX$5))&gt;0,"О","")</f>
        <v>О</v>
      </c>
      <c r="GY9" s="10" t="str">
        <f aca="false">IF(SUMPRODUCT((Отпуска!$A$5:$A$17=$A9)*(Отпуска!$B$5:$B$17&lt;=GY$5)*(Отпуска!$D$5:$D$17&gt;=GY$5))&gt;0,"О","")</f>
        <v>О</v>
      </c>
      <c r="GZ9" s="10" t="str">
        <f aca="false">IF(SUMPRODUCT((Отпуска!$A$5:$A$17=$A9)*(Отпуска!$B$5:$B$17&lt;=GZ$5)*(Отпуска!$D$5:$D$17&gt;=GZ$5))&gt;0,"О","")</f>
        <v>О</v>
      </c>
      <c r="HA9" s="10" t="str">
        <f aca="false">IF(SUMPRODUCT((Отпуска!$A$5:$A$17=$A9)*(Отпуска!$B$5:$B$17&lt;=HA$5)*(Отпуска!$D$5:$D$17&gt;=HA$5))&gt;0,"О","")</f>
        <v>О</v>
      </c>
      <c r="HB9" s="10" t="str">
        <f aca="false">IF(SUMPRODUCT((Отпуска!$A$5:$A$17=$A9)*(Отпуска!$B$5:$B$17&lt;=HB$5)*(Отпуска!$D$5:$D$17&gt;=HB$5))&gt;0,"О","")</f>
        <v>О</v>
      </c>
      <c r="HC9" s="10" t="str">
        <f aca="false">IF(SUMPRODUCT((Отпуска!$A$5:$A$17=$A9)*(Отпуска!$B$5:$B$17&lt;=HC$5)*(Отпуска!$D$5:$D$17&gt;=HC$5))&gt;0,"О","")</f>
        <v>О</v>
      </c>
      <c r="HD9" s="10" t="str">
        <f aca="false">IF(SUMPRODUCT((Отпуска!$A$5:$A$17=$A9)*(Отпуска!$B$5:$B$17&lt;=HD$5)*(Отпуска!$D$5:$D$17&gt;=HD$5))&gt;0,"О","")</f>
        <v>О</v>
      </c>
      <c r="HE9" s="10" t="str">
        <f aca="false">IF(SUMPRODUCT((Отпуска!$A$5:$A$17=$A9)*(Отпуска!$B$5:$B$17&lt;=HE$5)*(Отпуска!$D$5:$D$17&gt;=HE$5))&gt;0,"О","")</f>
        <v>О</v>
      </c>
      <c r="HF9" s="10" t="str">
        <f aca="false">IF(SUMPRODUCT((Отпуска!$A$5:$A$17=$A9)*(Отпуска!$B$5:$B$17&lt;=HF$5)*(Отпуска!$D$5:$D$17&gt;=HF$5))&gt;0,"О","")</f>
        <v>О</v>
      </c>
      <c r="HG9" s="10" t="str">
        <f aca="false">IF(SUMPRODUCT((Отпуска!$A$5:$A$17=$A9)*(Отпуска!$B$5:$B$17&lt;=HG$5)*(Отпуска!$D$5:$D$17&gt;=HG$5))&gt;0,"О","")</f>
        <v>О</v>
      </c>
      <c r="HH9" s="10" t="str">
        <f aca="false">IF(SUMPRODUCT((Отпуска!$A$5:$A$17=$A9)*(Отпуска!$B$5:$B$17&lt;=HH$5)*(Отпуска!$D$5:$D$17&gt;=HH$5))&gt;0,"О","")</f>
        <v>О</v>
      </c>
      <c r="HI9" s="10" t="str">
        <f aca="false">IF(SUMPRODUCT((Отпуска!$A$5:$A$17=$A9)*(Отпуска!$B$5:$B$17&lt;=HI$5)*(Отпуска!$D$5:$D$17&gt;=HI$5))&gt;0,"О","")</f>
        <v>О</v>
      </c>
      <c r="HJ9" s="10" t="str">
        <f aca="false">IF(SUMPRODUCT((Отпуска!$A$5:$A$17=$A9)*(Отпуска!$B$5:$B$17&lt;=HJ$5)*(Отпуска!$D$5:$D$17&gt;=HJ$5))&gt;0,"О","")</f>
        <v>О</v>
      </c>
      <c r="HK9" s="10" t="str">
        <f aca="false">IF(SUMPRODUCT((Отпуска!$A$5:$A$17=$A9)*(Отпуска!$B$5:$B$17&lt;=HK$5)*(Отпуска!$D$5:$D$17&gt;=HK$5))&gt;0,"О","")</f>
        <v>О</v>
      </c>
      <c r="HL9" s="10" t="str">
        <f aca="false">IF(SUMPRODUCT((Отпуска!$A$5:$A$17=$A9)*(Отпуска!$B$5:$B$17&lt;=HL$5)*(Отпуска!$D$5:$D$17&gt;=HL$5))&gt;0,"О","")</f>
        <v>О</v>
      </c>
      <c r="HM9" s="10" t="str">
        <f aca="false">IF(SUMPRODUCT((Отпуска!$A$5:$A$17=$A9)*(Отпуска!$B$5:$B$17&lt;=HM$5)*(Отпуска!$D$5:$D$17&gt;=HM$5))&gt;0,"О","")</f>
        <v>О</v>
      </c>
      <c r="HN9" s="10" t="str">
        <f aca="false">IF(SUMPRODUCT((Отпуска!$A$5:$A$17=$A9)*(Отпуска!$B$5:$B$17&lt;=HN$5)*(Отпуска!$D$5:$D$17&gt;=HN$5))&gt;0,"О","")</f>
        <v>О</v>
      </c>
      <c r="HO9" s="10" t="str">
        <f aca="false">IF(SUMPRODUCT((Отпуска!$A$5:$A$17=$A9)*(Отпуска!$B$5:$B$17&lt;=HO$5)*(Отпуска!$D$5:$D$17&gt;=HO$5))&gt;0,"О","")</f>
        <v>О</v>
      </c>
      <c r="HP9" s="10" t="str">
        <f aca="false">IF(SUMPRODUCT((Отпуска!$A$5:$A$17=$A9)*(Отпуска!$B$5:$B$17&lt;=HP$5)*(Отпуска!$D$5:$D$17&gt;=HP$5))&gt;0,"О","")</f>
        <v>О</v>
      </c>
      <c r="HQ9" s="10" t="str">
        <f aca="false">IF(SUMPRODUCT((Отпуска!$A$5:$A$17=$A9)*(Отпуска!$B$5:$B$17&lt;=HQ$5)*(Отпуска!$D$5:$D$17&gt;=HQ$5))&gt;0,"О","")</f>
        <v>О</v>
      </c>
      <c r="HR9" s="10" t="str">
        <f aca="false">IF(SUMPRODUCT((Отпуска!$A$5:$A$17=$A9)*(Отпуска!$B$5:$B$17&lt;=HR$5)*(Отпуска!$D$5:$D$17&gt;=HR$5))&gt;0,"О","")</f>
        <v>О</v>
      </c>
      <c r="HS9" s="10" t="str">
        <f aca="false">IF(SUMPRODUCT((Отпуска!$A$5:$A$17=$A9)*(Отпуска!$B$5:$B$17&lt;=HS$5)*(Отпуска!$D$5:$D$17&gt;=HS$5))&gt;0,"О","")</f>
        <v>О</v>
      </c>
      <c r="HT9" s="10" t="str">
        <f aca="false">IF(SUMPRODUCT((Отпуска!$A$5:$A$17=$A9)*(Отпуска!$B$5:$B$17&lt;=HT$5)*(Отпуска!$D$5:$D$17&gt;=HT$5))&gt;0,"О","")</f>
        <v>О</v>
      </c>
      <c r="HU9" s="10" t="str">
        <f aca="false">IF(SUMPRODUCT((Отпуска!$A$5:$A$17=$A9)*(Отпуска!$B$5:$B$17&lt;=HU$5)*(Отпуска!$D$5:$D$17&gt;=HU$5))&gt;0,"О","")</f>
        <v/>
      </c>
      <c r="HV9" s="10" t="str">
        <f aca="false">IF(SUMPRODUCT((Отпуска!$A$5:$A$17=$A9)*(Отпуска!$B$5:$B$17&lt;=HV$5)*(Отпуска!$D$5:$D$17&gt;=HV$5))&gt;0,"О","")</f>
        <v/>
      </c>
      <c r="HW9" s="10" t="str">
        <f aca="false">IF(SUMPRODUCT((Отпуска!$A$5:$A$17=$A9)*(Отпуска!$B$5:$B$17&lt;=HW$5)*(Отпуска!$D$5:$D$17&gt;=HW$5))&gt;0,"О","")</f>
        <v/>
      </c>
      <c r="HX9" s="10" t="str">
        <f aca="false">IF(SUMPRODUCT((Отпуска!$A$5:$A$17=$A9)*(Отпуска!$B$5:$B$17&lt;=HX$5)*(Отпуска!$D$5:$D$17&gt;=HX$5))&gt;0,"О","")</f>
        <v/>
      </c>
      <c r="HY9" s="10" t="str">
        <f aca="false">IF(SUMPRODUCT((Отпуска!$A$5:$A$17=$A9)*(Отпуска!$B$5:$B$17&lt;=HY$5)*(Отпуска!$D$5:$D$17&gt;=HY$5))&gt;0,"О","")</f>
        <v/>
      </c>
      <c r="HZ9" s="10" t="str">
        <f aca="false">IF(SUMPRODUCT((Отпуска!$A$5:$A$17=$A9)*(Отпуска!$B$5:$B$17&lt;=HZ$5)*(Отпуска!$D$5:$D$17&gt;=HZ$5))&gt;0,"О","")</f>
        <v/>
      </c>
      <c r="IA9" s="10" t="str">
        <f aca="false">IF(SUMPRODUCT((Отпуска!$A$5:$A$17=$A9)*(Отпуска!$B$5:$B$17&lt;=IA$5)*(Отпуска!$D$5:$D$17&gt;=IA$5))&gt;0,"О","")</f>
        <v/>
      </c>
      <c r="IB9" s="10" t="str">
        <f aca="false">IF(SUMPRODUCT((Отпуска!$A$5:$A$17=$A9)*(Отпуска!$B$5:$B$17&lt;=IB$5)*(Отпуска!$D$5:$D$17&gt;=IB$5))&gt;0,"О","")</f>
        <v/>
      </c>
      <c r="IC9" s="10" t="str">
        <f aca="false">IF(SUMPRODUCT((Отпуска!$A$5:$A$17=$A9)*(Отпуска!$B$5:$B$17&lt;=IC$5)*(Отпуска!$D$5:$D$17&gt;=IC$5))&gt;0,"О","")</f>
        <v/>
      </c>
      <c r="ID9" s="10" t="str">
        <f aca="false">IF(SUMPRODUCT((Отпуска!$A$5:$A$17=$A9)*(Отпуска!$B$5:$B$17&lt;=ID$5)*(Отпуска!$D$5:$D$17&gt;=ID$5))&gt;0,"О","")</f>
        <v/>
      </c>
      <c r="IE9" s="10" t="str">
        <f aca="false">IF(SUMPRODUCT((Отпуска!$A$5:$A$17=$A9)*(Отпуска!$B$5:$B$17&lt;=IE$5)*(Отпуска!$D$5:$D$17&gt;=IE$5))&gt;0,"О","")</f>
        <v/>
      </c>
      <c r="IF9" s="10" t="str">
        <f aca="false">IF(SUMPRODUCT((Отпуска!$A$5:$A$17=$A9)*(Отпуска!$B$5:$B$17&lt;=IF$5)*(Отпуска!$D$5:$D$17&gt;=IF$5))&gt;0,"О","")</f>
        <v/>
      </c>
      <c r="IG9" s="10" t="str">
        <f aca="false">IF(SUMPRODUCT((Отпуска!$A$5:$A$17=$A9)*(Отпуска!$B$5:$B$17&lt;=IG$5)*(Отпуска!$D$5:$D$17&gt;=IG$5))&gt;0,"О","")</f>
        <v/>
      </c>
      <c r="IH9" s="10" t="str">
        <f aca="false">IF(SUMPRODUCT((Отпуска!$A$5:$A$17=$A9)*(Отпуска!$B$5:$B$17&lt;=IH$5)*(Отпуска!$D$5:$D$17&gt;=IH$5))&gt;0,"О","")</f>
        <v/>
      </c>
      <c r="II9" s="10" t="str">
        <f aca="false">IF(SUMPRODUCT((Отпуска!$A$5:$A$17=$A9)*(Отпуска!$B$5:$B$17&lt;=II$5)*(Отпуска!$D$5:$D$17&gt;=II$5))&gt;0,"О","")</f>
        <v/>
      </c>
      <c r="IJ9" s="10" t="str">
        <f aca="false">IF(SUMPRODUCT((Отпуска!$A$5:$A$17=$A9)*(Отпуска!$B$5:$B$17&lt;=IJ$5)*(Отпуска!$D$5:$D$17&gt;=IJ$5))&gt;0,"О","")</f>
        <v/>
      </c>
      <c r="IK9" s="10" t="str">
        <f aca="false">IF(SUMPRODUCT((Отпуска!$A$5:$A$17=$A9)*(Отпуска!$B$5:$B$17&lt;=IK$5)*(Отпуска!$D$5:$D$17&gt;=IK$5))&gt;0,"О","")</f>
        <v/>
      </c>
      <c r="IL9" s="10" t="str">
        <f aca="false">IF(SUMPRODUCT((Отпуска!$A$5:$A$17=$A9)*(Отпуска!$B$5:$B$17&lt;=IL$5)*(Отпуска!$D$5:$D$17&gt;=IL$5))&gt;0,"О","")</f>
        <v/>
      </c>
      <c r="IM9" s="10" t="str">
        <f aca="false">IF(SUMPRODUCT((Отпуска!$A$5:$A$17=$A9)*(Отпуска!$B$5:$B$17&lt;=IM$5)*(Отпуска!$D$5:$D$17&gt;=IM$5))&gt;0,"О","")</f>
        <v/>
      </c>
      <c r="IN9" s="10" t="str">
        <f aca="false">IF(SUMPRODUCT((Отпуска!$A$5:$A$17=$A9)*(Отпуска!$B$5:$B$17&lt;=IN$5)*(Отпуска!$D$5:$D$17&gt;=IN$5))&gt;0,"О","")</f>
        <v/>
      </c>
      <c r="IO9" s="10" t="str">
        <f aca="false">IF(SUMPRODUCT((Отпуска!$A$5:$A$17=$A9)*(Отпуска!$B$5:$B$17&lt;=IO$5)*(Отпуска!$D$5:$D$17&gt;=IO$5))&gt;0,"О","")</f>
        <v/>
      </c>
      <c r="IP9" s="10" t="str">
        <f aca="false">IF(SUMPRODUCT((Отпуска!$A$5:$A$17=$A9)*(Отпуска!$B$5:$B$17&lt;=IP$5)*(Отпуска!$D$5:$D$17&gt;=IP$5))&gt;0,"О","")</f>
        <v/>
      </c>
      <c r="IQ9" s="10" t="str">
        <f aca="false">IF(SUMPRODUCT((Отпуска!$A$5:$A$17=$A9)*(Отпуска!$B$5:$B$17&lt;=IQ$5)*(Отпуска!$D$5:$D$17&gt;=IQ$5))&gt;0,"О","")</f>
        <v/>
      </c>
      <c r="IR9" s="10" t="str">
        <f aca="false">IF(SUMPRODUCT((Отпуска!$A$5:$A$17=$A9)*(Отпуска!$B$5:$B$17&lt;=IR$5)*(Отпуска!$D$5:$D$17&gt;=IR$5))&gt;0,"О","")</f>
        <v/>
      </c>
      <c r="IS9" s="10" t="str">
        <f aca="false">IF(SUMPRODUCT((Отпуска!$A$5:$A$17=$A9)*(Отпуска!$B$5:$B$17&lt;=IS$5)*(Отпуска!$D$5:$D$17&gt;=IS$5))&gt;0,"О","")</f>
        <v/>
      </c>
      <c r="IT9" s="10" t="str">
        <f aca="false">IF(SUMPRODUCT((Отпуска!$A$5:$A$17=$A9)*(Отпуска!$B$5:$B$17&lt;=IT$5)*(Отпуска!$D$5:$D$17&gt;=IT$5))&gt;0,"О","")</f>
        <v/>
      </c>
      <c r="IU9" s="10" t="str">
        <f aca="false">IF(SUMPRODUCT((Отпуска!$A$5:$A$17=$A9)*(Отпуска!$B$5:$B$17&lt;=IU$5)*(Отпуска!$D$5:$D$17&gt;=IU$5))&gt;0,"О","")</f>
        <v/>
      </c>
      <c r="IV9" s="10" t="str">
        <f aca="false">IF(SUMPRODUCT((Отпуска!$A$5:$A$17=$A9)*(Отпуска!$B$5:$B$17&lt;=IV$5)*(Отпуска!$D$5:$D$17&gt;=IV$5))&gt;0,"О","")</f>
        <v/>
      </c>
      <c r="IW9" s="10" t="str">
        <f aca="false">IF(SUMPRODUCT((Отпуска!$A$5:$A$17=$A9)*(Отпуска!$B$5:$B$17&lt;=IW$5)*(Отпуска!$D$5:$D$17&gt;=IW$5))&gt;0,"О","")</f>
        <v/>
      </c>
      <c r="IX9" s="10" t="str">
        <f aca="false">IF(SUMPRODUCT((Отпуска!$A$5:$A$17=$A9)*(Отпуска!$B$5:$B$17&lt;=IX$5)*(Отпуска!$D$5:$D$17&gt;=IX$5))&gt;0,"О","")</f>
        <v/>
      </c>
      <c r="IY9" s="10" t="str">
        <f aca="false">IF(SUMPRODUCT((Отпуска!$A$5:$A$17=$A9)*(Отпуска!$B$5:$B$17&lt;=IY$5)*(Отпуска!$D$5:$D$17&gt;=IY$5))&gt;0,"О","")</f>
        <v/>
      </c>
      <c r="IZ9" s="10" t="str">
        <f aca="false">IF(SUMPRODUCT((Отпуска!$A$5:$A$17=$A9)*(Отпуска!$B$5:$B$17&lt;=IZ$5)*(Отпуска!$D$5:$D$17&gt;=IZ$5))&gt;0,"О","")</f>
        <v/>
      </c>
      <c r="JA9" s="10" t="str">
        <f aca="false">IF(SUMPRODUCT((Отпуска!$A$5:$A$17=$A9)*(Отпуска!$B$5:$B$17&lt;=JA$5)*(Отпуска!$D$5:$D$17&gt;=JA$5))&gt;0,"О","")</f>
        <v/>
      </c>
      <c r="JB9" s="10" t="str">
        <f aca="false">IF(SUMPRODUCT((Отпуска!$A$5:$A$17=$A9)*(Отпуска!$B$5:$B$17&lt;=JB$5)*(Отпуска!$D$5:$D$17&gt;=JB$5))&gt;0,"О","")</f>
        <v/>
      </c>
      <c r="JC9" s="10" t="str">
        <f aca="false">IF(SUMPRODUCT((Отпуска!$A$5:$A$17=$A9)*(Отпуска!$B$5:$B$17&lt;=JC$5)*(Отпуска!$D$5:$D$17&gt;=JC$5))&gt;0,"О","")</f>
        <v/>
      </c>
      <c r="JD9" s="10" t="str">
        <f aca="false">IF(SUMPRODUCT((Отпуска!$A$5:$A$17=$A9)*(Отпуска!$B$5:$B$17&lt;=JD$5)*(Отпуска!$D$5:$D$17&gt;=JD$5))&gt;0,"О","")</f>
        <v/>
      </c>
      <c r="JE9" s="10" t="str">
        <f aca="false">IF(SUMPRODUCT((Отпуска!$A$5:$A$17=$A9)*(Отпуска!$B$5:$B$17&lt;=JE$5)*(Отпуска!$D$5:$D$17&gt;=JE$5))&gt;0,"О","")</f>
        <v/>
      </c>
      <c r="JF9" s="10" t="str">
        <f aca="false">IF(SUMPRODUCT((Отпуска!$A$5:$A$17=$A9)*(Отпуска!$B$5:$B$17&lt;=JF$5)*(Отпуска!$D$5:$D$17&gt;=JF$5))&gt;0,"О","")</f>
        <v/>
      </c>
      <c r="JG9" s="10" t="str">
        <f aca="false">IF(SUMPRODUCT((Отпуска!$A$5:$A$17=$A9)*(Отпуска!$B$5:$B$17&lt;=JG$5)*(Отпуска!$D$5:$D$17&gt;=JG$5))&gt;0,"О","")</f>
        <v/>
      </c>
      <c r="JH9" s="10" t="str">
        <f aca="false">IF(SUMPRODUCT((Отпуска!$A$5:$A$17=$A9)*(Отпуска!$B$5:$B$17&lt;=JH$5)*(Отпуска!$D$5:$D$17&gt;=JH$5))&gt;0,"О","")</f>
        <v/>
      </c>
      <c r="JI9" s="10" t="str">
        <f aca="false">IF(SUMPRODUCT((Отпуска!$A$5:$A$17=$A9)*(Отпуска!$B$5:$B$17&lt;=JI$5)*(Отпуска!$D$5:$D$17&gt;=JI$5))&gt;0,"О","")</f>
        <v/>
      </c>
      <c r="JJ9" s="10" t="str">
        <f aca="false">IF(SUMPRODUCT((Отпуска!$A$5:$A$17=$A9)*(Отпуска!$B$5:$B$17&lt;=JJ$5)*(Отпуска!$D$5:$D$17&gt;=JJ$5))&gt;0,"О","")</f>
        <v/>
      </c>
      <c r="JK9" s="10" t="str">
        <f aca="false">IF(SUMPRODUCT((Отпуска!$A$5:$A$17=$A9)*(Отпуска!$B$5:$B$17&lt;=JK$5)*(Отпуска!$D$5:$D$17&gt;=JK$5))&gt;0,"О","")</f>
        <v/>
      </c>
      <c r="JL9" s="10" t="str">
        <f aca="false">IF(SUMPRODUCT((Отпуска!$A$5:$A$17=$A9)*(Отпуска!$B$5:$B$17&lt;=JL$5)*(Отпуска!$D$5:$D$17&gt;=JL$5))&gt;0,"О","")</f>
        <v/>
      </c>
      <c r="JM9" s="10" t="str">
        <f aca="false">IF(SUMPRODUCT((Отпуска!$A$5:$A$17=$A9)*(Отпуска!$B$5:$B$17&lt;=JM$5)*(Отпуска!$D$5:$D$17&gt;=JM$5))&gt;0,"О","")</f>
        <v/>
      </c>
      <c r="JN9" s="10" t="str">
        <f aca="false">IF(SUMPRODUCT((Отпуска!$A$5:$A$17=$A9)*(Отпуска!$B$5:$B$17&lt;=JN$5)*(Отпуска!$D$5:$D$17&gt;=JN$5))&gt;0,"О","")</f>
        <v/>
      </c>
      <c r="JO9" s="10" t="str">
        <f aca="false">IF(SUMPRODUCT((Отпуска!$A$5:$A$17=$A9)*(Отпуска!$B$5:$B$17&lt;=JO$5)*(Отпуска!$D$5:$D$17&gt;=JO$5))&gt;0,"О","")</f>
        <v/>
      </c>
      <c r="JP9" s="10" t="str">
        <f aca="false">IF(SUMPRODUCT((Отпуска!$A$5:$A$17=$A9)*(Отпуска!$B$5:$B$17&lt;=JP$5)*(Отпуска!$D$5:$D$17&gt;=JP$5))&gt;0,"О","")</f>
        <v/>
      </c>
      <c r="JQ9" s="10" t="str">
        <f aca="false">IF(SUMPRODUCT((Отпуска!$A$5:$A$17=$A9)*(Отпуска!$B$5:$B$17&lt;=JQ$5)*(Отпуска!$D$5:$D$17&gt;=JQ$5))&gt;0,"О","")</f>
        <v/>
      </c>
      <c r="JR9" s="10" t="str">
        <f aca="false">IF(SUMPRODUCT((Отпуска!$A$5:$A$17=$A9)*(Отпуска!$B$5:$B$17&lt;=JR$5)*(Отпуска!$D$5:$D$17&gt;=JR$5))&gt;0,"О","")</f>
        <v/>
      </c>
      <c r="JS9" s="10" t="str">
        <f aca="false">IF(SUMPRODUCT((Отпуска!$A$5:$A$17=$A9)*(Отпуска!$B$5:$B$17&lt;=JS$5)*(Отпуска!$D$5:$D$17&gt;=JS$5))&gt;0,"О","")</f>
        <v/>
      </c>
      <c r="JT9" s="10" t="str">
        <f aca="false">IF(SUMPRODUCT((Отпуска!$A$5:$A$17=$A9)*(Отпуска!$B$5:$B$17&lt;=JT$5)*(Отпуска!$D$5:$D$17&gt;=JT$5))&gt;0,"О","")</f>
        <v/>
      </c>
      <c r="JU9" s="10" t="str">
        <f aca="false">IF(SUMPRODUCT((Отпуска!$A$5:$A$17=$A9)*(Отпуска!$B$5:$B$17&lt;=JU$5)*(Отпуска!$D$5:$D$17&gt;=JU$5))&gt;0,"О","")</f>
        <v/>
      </c>
      <c r="JV9" s="10" t="str">
        <f aca="false">IF(SUMPRODUCT((Отпуска!$A$5:$A$17=$A9)*(Отпуска!$B$5:$B$17&lt;=JV$5)*(Отпуска!$D$5:$D$17&gt;=JV$5))&gt;0,"О","")</f>
        <v/>
      </c>
      <c r="JW9" s="10" t="str">
        <f aca="false">IF(SUMPRODUCT((Отпуска!$A$5:$A$17=$A9)*(Отпуска!$B$5:$B$17&lt;=JW$5)*(Отпуска!$D$5:$D$17&gt;=JW$5))&gt;0,"О","")</f>
        <v/>
      </c>
      <c r="JX9" s="10" t="str">
        <f aca="false">IF(SUMPRODUCT((Отпуска!$A$5:$A$17=$A9)*(Отпуска!$B$5:$B$17&lt;=JX$5)*(Отпуска!$D$5:$D$17&gt;=JX$5))&gt;0,"О","")</f>
        <v/>
      </c>
      <c r="JY9" s="10" t="str">
        <f aca="false">IF(SUMPRODUCT((Отпуска!$A$5:$A$17=$A9)*(Отпуска!$B$5:$B$17&lt;=JY$5)*(Отпуска!$D$5:$D$17&gt;=JY$5))&gt;0,"О","")</f>
        <v/>
      </c>
      <c r="JZ9" s="10" t="str">
        <f aca="false">IF(SUMPRODUCT((Отпуска!$A$5:$A$17=$A9)*(Отпуска!$B$5:$B$17&lt;=JZ$5)*(Отпуска!$D$5:$D$17&gt;=JZ$5))&gt;0,"О","")</f>
        <v/>
      </c>
      <c r="KA9" s="10" t="str">
        <f aca="false">IF(SUMPRODUCT((Отпуска!$A$5:$A$17=$A9)*(Отпуска!$B$5:$B$17&lt;=KA$5)*(Отпуска!$D$5:$D$17&gt;=KA$5))&gt;0,"О","")</f>
        <v/>
      </c>
      <c r="KB9" s="10" t="str">
        <f aca="false">IF(SUMPRODUCT((Отпуска!$A$5:$A$17=$A9)*(Отпуска!$B$5:$B$17&lt;=KB$5)*(Отпуска!$D$5:$D$17&gt;=KB$5))&gt;0,"О","")</f>
        <v/>
      </c>
      <c r="KC9" s="10" t="str">
        <f aca="false">IF(SUMPRODUCT((Отпуска!$A$5:$A$17=$A9)*(Отпуска!$B$5:$B$17&lt;=KC$5)*(Отпуска!$D$5:$D$17&gt;=KC$5))&gt;0,"О","")</f>
        <v/>
      </c>
      <c r="KD9" s="10" t="str">
        <f aca="false">IF(SUMPRODUCT((Отпуска!$A$5:$A$17=$A9)*(Отпуска!$B$5:$B$17&lt;=KD$5)*(Отпуска!$D$5:$D$17&gt;=KD$5))&gt;0,"О","")</f>
        <v/>
      </c>
      <c r="KE9" s="10" t="str">
        <f aca="false">IF(SUMPRODUCT((Отпуска!$A$5:$A$17=$A9)*(Отпуска!$B$5:$B$17&lt;=KE$5)*(Отпуска!$D$5:$D$17&gt;=KE$5))&gt;0,"О","")</f>
        <v/>
      </c>
      <c r="KF9" s="10" t="str">
        <f aca="false">IF(SUMPRODUCT((Отпуска!$A$5:$A$17=$A9)*(Отпуска!$B$5:$B$17&lt;=KF$5)*(Отпуска!$D$5:$D$17&gt;=KF$5))&gt;0,"О","")</f>
        <v/>
      </c>
      <c r="KG9" s="10" t="str">
        <f aca="false">IF(SUMPRODUCT((Отпуска!$A$5:$A$17=$A9)*(Отпуска!$B$5:$B$17&lt;=KG$5)*(Отпуска!$D$5:$D$17&gt;=KG$5))&gt;0,"О","")</f>
        <v/>
      </c>
      <c r="KH9" s="10" t="str">
        <f aca="false">IF(SUMPRODUCT((Отпуска!$A$5:$A$17=$A9)*(Отпуска!$B$5:$B$17&lt;=KH$5)*(Отпуска!$D$5:$D$17&gt;=KH$5))&gt;0,"О","")</f>
        <v/>
      </c>
      <c r="KI9" s="10" t="str">
        <f aca="false">IF(SUMPRODUCT((Отпуска!$A$5:$A$17=$A9)*(Отпуска!$B$5:$B$17&lt;=KI$5)*(Отпуска!$D$5:$D$17&gt;=KI$5))&gt;0,"О","")</f>
        <v/>
      </c>
      <c r="KJ9" s="10" t="str">
        <f aca="false">IF(SUMPRODUCT((Отпуска!$A$5:$A$17=$A9)*(Отпуска!$B$5:$B$17&lt;=KJ$5)*(Отпуска!$D$5:$D$17&gt;=KJ$5))&gt;0,"О","")</f>
        <v/>
      </c>
      <c r="KK9" s="10" t="str">
        <f aca="false">IF(SUMPRODUCT((Отпуска!$A$5:$A$17=$A9)*(Отпуска!$B$5:$B$17&lt;=KK$5)*(Отпуска!$D$5:$D$17&gt;=KK$5))&gt;0,"О","")</f>
        <v/>
      </c>
      <c r="KL9" s="10" t="str">
        <f aca="false">IF(SUMPRODUCT((Отпуска!$A$5:$A$17=$A9)*(Отпуска!$B$5:$B$17&lt;=KL$5)*(Отпуска!$D$5:$D$17&gt;=KL$5))&gt;0,"О","")</f>
        <v/>
      </c>
      <c r="KM9" s="10" t="str">
        <f aca="false">IF(SUMPRODUCT((Отпуска!$A$5:$A$17=$A9)*(Отпуска!$B$5:$B$17&lt;=KM$5)*(Отпуска!$D$5:$D$17&gt;=KM$5))&gt;0,"О","")</f>
        <v/>
      </c>
      <c r="KN9" s="10" t="str">
        <f aca="false">IF(SUMPRODUCT((Отпуска!$A$5:$A$17=$A9)*(Отпуска!$B$5:$B$17&lt;=KN$5)*(Отпуска!$D$5:$D$17&gt;=KN$5))&gt;0,"О","")</f>
        <v/>
      </c>
      <c r="KO9" s="10" t="str">
        <f aca="false">IF(SUMPRODUCT((Отпуска!$A$5:$A$17=$A9)*(Отпуска!$B$5:$B$17&lt;=KO$5)*(Отпуска!$D$5:$D$17&gt;=KO$5))&gt;0,"О","")</f>
        <v/>
      </c>
      <c r="KP9" s="10" t="str">
        <f aca="false">IF(SUMPRODUCT((Отпуска!$A$5:$A$17=$A9)*(Отпуска!$B$5:$B$17&lt;=KP$5)*(Отпуска!$D$5:$D$17&gt;=KP$5))&gt;0,"О","")</f>
        <v/>
      </c>
      <c r="KQ9" s="10" t="str">
        <f aca="false">IF(SUMPRODUCT((Отпуска!$A$5:$A$17=$A9)*(Отпуска!$B$5:$B$17&lt;=KQ$5)*(Отпуска!$D$5:$D$17&gt;=KQ$5))&gt;0,"О","")</f>
        <v/>
      </c>
      <c r="KR9" s="10" t="str">
        <f aca="false">IF(SUMPRODUCT((Отпуска!$A$5:$A$17=$A9)*(Отпуска!$B$5:$B$17&lt;=KR$5)*(Отпуска!$D$5:$D$17&gt;=KR$5))&gt;0,"О","")</f>
        <v/>
      </c>
      <c r="KS9" s="10" t="str">
        <f aca="false">IF(SUMPRODUCT((Отпуска!$A$5:$A$17=$A9)*(Отпуска!$B$5:$B$17&lt;=KS$5)*(Отпуска!$D$5:$D$17&gt;=KS$5))&gt;0,"О","")</f>
        <v/>
      </c>
      <c r="KT9" s="10" t="str">
        <f aca="false">IF(SUMPRODUCT((Отпуска!$A$5:$A$17=$A9)*(Отпуска!$B$5:$B$17&lt;=KT$5)*(Отпуска!$D$5:$D$17&gt;=KT$5))&gt;0,"О","")</f>
        <v/>
      </c>
      <c r="KU9" s="10" t="str">
        <f aca="false">IF(SUMPRODUCT((Отпуска!$A$5:$A$17=$A9)*(Отпуска!$B$5:$B$17&lt;=KU$5)*(Отпуска!$D$5:$D$17&gt;=KU$5))&gt;0,"О","")</f>
        <v/>
      </c>
      <c r="KV9" s="10" t="str">
        <f aca="false">IF(SUMPRODUCT((Отпуска!$A$5:$A$17=$A9)*(Отпуска!$B$5:$B$17&lt;=KV$5)*(Отпуска!$D$5:$D$17&gt;=KV$5))&gt;0,"О","")</f>
        <v/>
      </c>
      <c r="KW9" s="10" t="str">
        <f aca="false">IF(SUMPRODUCT((Отпуска!$A$5:$A$17=$A9)*(Отпуска!$B$5:$B$17&lt;=KW$5)*(Отпуска!$D$5:$D$17&gt;=KW$5))&gt;0,"О","")</f>
        <v/>
      </c>
      <c r="KX9" s="10" t="str">
        <f aca="false">IF(SUMPRODUCT((Отпуска!$A$5:$A$17=$A9)*(Отпуска!$B$5:$B$17&lt;=KX$5)*(Отпуска!$D$5:$D$17&gt;=KX$5))&gt;0,"О","")</f>
        <v/>
      </c>
      <c r="KY9" s="10" t="str">
        <f aca="false">IF(SUMPRODUCT((Отпуска!$A$5:$A$17=$A9)*(Отпуска!$B$5:$B$17&lt;=KY$5)*(Отпуска!$D$5:$D$17&gt;=KY$5))&gt;0,"О","")</f>
        <v/>
      </c>
      <c r="KZ9" s="10" t="str">
        <f aca="false">IF(SUMPRODUCT((Отпуска!$A$5:$A$17=$A9)*(Отпуска!$B$5:$B$17&lt;=KZ$5)*(Отпуска!$D$5:$D$17&gt;=KZ$5))&gt;0,"О","")</f>
        <v/>
      </c>
      <c r="LA9" s="10" t="str">
        <f aca="false">IF(SUMPRODUCT((Отпуска!$A$5:$A$17=$A9)*(Отпуска!$B$5:$B$17&lt;=LA$5)*(Отпуска!$D$5:$D$17&gt;=LA$5))&gt;0,"О","")</f>
        <v/>
      </c>
      <c r="LB9" s="10" t="str">
        <f aca="false">IF(SUMPRODUCT((Отпуска!$A$5:$A$17=$A9)*(Отпуска!$B$5:$B$17&lt;=LB$5)*(Отпуска!$D$5:$D$17&gt;=LB$5))&gt;0,"О","")</f>
        <v/>
      </c>
      <c r="LC9" s="10" t="str">
        <f aca="false">IF(SUMPRODUCT((Отпуска!$A$5:$A$17=$A9)*(Отпуска!$B$5:$B$17&lt;=LC$5)*(Отпуска!$D$5:$D$17&gt;=LC$5))&gt;0,"О","")</f>
        <v/>
      </c>
      <c r="LD9" s="10" t="str">
        <f aca="false">IF(SUMPRODUCT((Отпуска!$A$5:$A$17=$A9)*(Отпуска!$B$5:$B$17&lt;=LD$5)*(Отпуска!$D$5:$D$17&gt;=LD$5))&gt;0,"О","")</f>
        <v/>
      </c>
      <c r="LE9" s="10" t="str">
        <f aca="false">IF(SUMPRODUCT((Отпуска!$A$5:$A$17=$A9)*(Отпуска!$B$5:$B$17&lt;=LE$5)*(Отпуска!$D$5:$D$17&gt;=LE$5))&gt;0,"О","")</f>
        <v/>
      </c>
      <c r="LF9" s="10" t="str">
        <f aca="false">IF(SUMPRODUCT((Отпуска!$A$5:$A$17=$A9)*(Отпуска!$B$5:$B$17&lt;=LF$5)*(Отпуска!$D$5:$D$17&gt;=LF$5))&gt;0,"О","")</f>
        <v/>
      </c>
      <c r="LG9" s="10" t="str">
        <f aca="false">IF(SUMPRODUCT((Отпуска!$A$5:$A$17=$A9)*(Отпуска!$B$5:$B$17&lt;=LG$5)*(Отпуска!$D$5:$D$17&gt;=LG$5))&gt;0,"О","")</f>
        <v/>
      </c>
      <c r="LH9" s="10" t="str">
        <f aca="false">IF(SUMPRODUCT((Отпуска!$A$5:$A$17=$A9)*(Отпуска!$B$5:$B$17&lt;=LH$5)*(Отпуска!$D$5:$D$17&gt;=LH$5))&gt;0,"О","")</f>
        <v/>
      </c>
      <c r="LI9" s="10" t="str">
        <f aca="false">IF(SUMPRODUCT((Отпуска!$A$5:$A$17=$A9)*(Отпуска!$B$5:$B$17&lt;=LI$5)*(Отпуска!$D$5:$D$17&gt;=LI$5))&gt;0,"О","")</f>
        <v/>
      </c>
      <c r="LJ9" s="10" t="str">
        <f aca="false">IF(SUMPRODUCT((Отпуска!$A$5:$A$17=$A9)*(Отпуска!$B$5:$B$17&lt;=LJ$5)*(Отпуска!$D$5:$D$17&gt;=LJ$5))&gt;0,"О","")</f>
        <v/>
      </c>
      <c r="LK9" s="10" t="str">
        <f aca="false">IF(SUMPRODUCT((Отпуска!$A$5:$A$17=$A9)*(Отпуска!$B$5:$B$17&lt;=LK$5)*(Отпуска!$D$5:$D$17&gt;=LK$5))&gt;0,"О","")</f>
        <v/>
      </c>
      <c r="LL9" s="10" t="str">
        <f aca="false">IF(SUMPRODUCT((Отпуска!$A$5:$A$17=$A9)*(Отпуска!$B$5:$B$17&lt;=LL$5)*(Отпуска!$D$5:$D$17&gt;=LL$5))&gt;0,"О","")</f>
        <v/>
      </c>
      <c r="LM9" s="10" t="str">
        <f aca="false">IF(SUMPRODUCT((Отпуска!$A$5:$A$17=$A9)*(Отпуска!$B$5:$B$17&lt;=LM$5)*(Отпуска!$D$5:$D$17&gt;=LM$5))&gt;0,"О","")</f>
        <v/>
      </c>
      <c r="LN9" s="10" t="str">
        <f aca="false">IF(SUMPRODUCT((Отпуска!$A$5:$A$17=$A9)*(Отпуска!$B$5:$B$17&lt;=LN$5)*(Отпуска!$D$5:$D$17&gt;=LN$5))&gt;0,"О","")</f>
        <v/>
      </c>
      <c r="LO9" s="10" t="str">
        <f aca="false">IF(SUMPRODUCT((Отпуска!$A$5:$A$17=$A9)*(Отпуска!$B$5:$B$17&lt;=LO$5)*(Отпуска!$D$5:$D$17&gt;=LO$5))&gt;0,"О","")</f>
        <v/>
      </c>
      <c r="LP9" s="10" t="str">
        <f aca="false">IF(SUMPRODUCT((Отпуска!$A$5:$A$17=$A9)*(Отпуска!$B$5:$B$17&lt;=LP$5)*(Отпуска!$D$5:$D$17&gt;=LP$5))&gt;0,"О","")</f>
        <v/>
      </c>
      <c r="LQ9" s="10" t="str">
        <f aca="false">IF(SUMPRODUCT((Отпуска!$A$5:$A$17=$A9)*(Отпуска!$B$5:$B$17&lt;=LQ$5)*(Отпуска!$D$5:$D$17&gt;=LQ$5))&gt;0,"О","")</f>
        <v/>
      </c>
      <c r="LR9" s="10" t="str">
        <f aca="false">IF(SUMPRODUCT((Отпуска!$A$5:$A$17=$A9)*(Отпуска!$B$5:$B$17&lt;=LR$5)*(Отпуска!$D$5:$D$17&gt;=LR$5))&gt;0,"О","")</f>
        <v/>
      </c>
      <c r="LS9" s="10" t="str">
        <f aca="false">IF(SUMPRODUCT((Отпуска!$A$5:$A$17=$A9)*(Отпуска!$B$5:$B$17&lt;=LS$5)*(Отпуска!$D$5:$D$17&gt;=LS$5))&gt;0,"О","")</f>
        <v/>
      </c>
      <c r="LT9" s="10" t="str">
        <f aca="false">IF(SUMPRODUCT((Отпуска!$A$5:$A$17=$A9)*(Отпуска!$B$5:$B$17&lt;=LT$5)*(Отпуска!$D$5:$D$17&gt;=LT$5))&gt;0,"О","")</f>
        <v/>
      </c>
      <c r="LU9" s="10" t="str">
        <f aca="false">IF(SUMPRODUCT((Отпуска!$A$5:$A$17=$A9)*(Отпуска!$B$5:$B$17&lt;=LU$5)*(Отпуска!$D$5:$D$17&gt;=LU$5))&gt;0,"О","")</f>
        <v/>
      </c>
      <c r="LV9" s="10" t="str">
        <f aca="false">IF(SUMPRODUCT((Отпуска!$A$5:$A$17=$A9)*(Отпуска!$B$5:$B$17&lt;=LV$5)*(Отпуска!$D$5:$D$17&gt;=LV$5))&gt;0,"О","")</f>
        <v/>
      </c>
      <c r="LW9" s="10" t="str">
        <f aca="false">IF(SUMPRODUCT((Отпуска!$A$5:$A$17=$A9)*(Отпуска!$B$5:$B$17&lt;=LW$5)*(Отпуска!$D$5:$D$17&gt;=LW$5))&gt;0,"О","")</f>
        <v/>
      </c>
      <c r="LX9" s="10" t="str">
        <f aca="false">IF(SUMPRODUCT((Отпуска!$A$5:$A$17=$A9)*(Отпуска!$B$5:$B$17&lt;=LX$5)*(Отпуска!$D$5:$D$17&gt;=LX$5))&gt;0,"О","")</f>
        <v/>
      </c>
      <c r="LY9" s="10" t="str">
        <f aca="false">IF(SUMPRODUCT((Отпуска!$A$5:$A$17=$A9)*(Отпуска!$B$5:$B$17&lt;=LY$5)*(Отпуска!$D$5:$D$17&gt;=LY$5))&gt;0,"О","")</f>
        <v/>
      </c>
      <c r="LZ9" s="10" t="str">
        <f aca="false">IF(SUMPRODUCT((Отпуска!$A$5:$A$17=$A9)*(Отпуска!$B$5:$B$17&lt;=LZ$5)*(Отпуска!$D$5:$D$17&gt;=LZ$5))&gt;0,"О","")</f>
        <v/>
      </c>
      <c r="MA9" s="10" t="str">
        <f aca="false">IF(SUMPRODUCT((Отпуска!$A$5:$A$17=$A9)*(Отпуска!$B$5:$B$17&lt;=MA$5)*(Отпуска!$D$5:$D$17&gt;=MA$5))&gt;0,"О","")</f>
        <v/>
      </c>
      <c r="MB9" s="10" t="str">
        <f aca="false">IF(SUMPRODUCT((Отпуска!$A$5:$A$17=$A9)*(Отпуска!$B$5:$B$17&lt;=MB$5)*(Отпуска!$D$5:$D$17&gt;=MB$5))&gt;0,"О","")</f>
        <v/>
      </c>
      <c r="MC9" s="10" t="str">
        <f aca="false">IF(SUMPRODUCT((Отпуска!$A$5:$A$17=$A9)*(Отпуска!$B$5:$B$17&lt;=MC$5)*(Отпуска!$D$5:$D$17&gt;=MC$5))&gt;0,"О","")</f>
        <v/>
      </c>
      <c r="MD9" s="10" t="str">
        <f aca="false">IF(SUMPRODUCT((Отпуска!$A$5:$A$17=$A9)*(Отпуска!$B$5:$B$17&lt;=MD$5)*(Отпуска!$D$5:$D$17&gt;=MD$5))&gt;0,"О","")</f>
        <v/>
      </c>
      <c r="ME9" s="10" t="str">
        <f aca="false">IF(SUMPRODUCT((Отпуска!$A$5:$A$17=$A9)*(Отпуска!$B$5:$B$17&lt;=ME$5)*(Отпуска!$D$5:$D$17&gt;=ME$5))&gt;0,"О","")</f>
        <v/>
      </c>
      <c r="MF9" s="10" t="str">
        <f aca="false">IF(SUMPRODUCT((Отпуска!$A$5:$A$17=$A9)*(Отпуска!$B$5:$B$17&lt;=MF$5)*(Отпуска!$D$5:$D$17&gt;=MF$5))&gt;0,"О","")</f>
        <v/>
      </c>
      <c r="MG9" s="10" t="str">
        <f aca="false">IF(SUMPRODUCT((Отпуска!$A$5:$A$17=$A9)*(Отпуска!$B$5:$B$17&lt;=MG$5)*(Отпуска!$D$5:$D$17&gt;=MG$5))&gt;0,"О","")</f>
        <v/>
      </c>
      <c r="MH9" s="10" t="str">
        <f aca="false">IF(SUMPRODUCT((Отпуска!$A$5:$A$17=$A9)*(Отпуска!$B$5:$B$17&lt;=MH$5)*(Отпуска!$D$5:$D$17&gt;=MH$5))&gt;0,"О","")</f>
        <v/>
      </c>
      <c r="MI9" s="10" t="str">
        <f aca="false">IF(SUMPRODUCT((Отпуска!$A$5:$A$17=$A9)*(Отпуска!$B$5:$B$17&lt;=MI$5)*(Отпуска!$D$5:$D$17&gt;=MI$5))&gt;0,"О","")</f>
        <v/>
      </c>
      <c r="MJ9" s="10" t="str">
        <f aca="false">IF(SUMPRODUCT((Отпуска!$A$5:$A$17=$A9)*(Отпуска!$B$5:$B$17&lt;=MJ$5)*(Отпуска!$D$5:$D$17&gt;=MJ$5))&gt;0,"О","")</f>
        <v/>
      </c>
      <c r="MK9" s="10" t="str">
        <f aca="false">IF(SUMPRODUCT((Отпуска!$A$5:$A$17=$A9)*(Отпуска!$B$5:$B$17&lt;=MK$5)*(Отпуска!$D$5:$D$17&gt;=MK$5))&gt;0,"О","")</f>
        <v/>
      </c>
      <c r="ML9" s="10" t="str">
        <f aca="false">IF(SUMPRODUCT((Отпуска!$A$5:$A$17=$A9)*(Отпуска!$B$5:$B$17&lt;=ML$5)*(Отпуска!$D$5:$D$17&gt;=ML$5))&gt;0,"О","")</f>
        <v/>
      </c>
      <c r="MM9" s="10" t="str">
        <f aca="false">IF(SUMPRODUCT((Отпуска!$A$5:$A$17=$A9)*(Отпуска!$B$5:$B$17&lt;=MM$5)*(Отпуска!$D$5:$D$17&gt;=MM$5))&gt;0,"О","")</f>
        <v/>
      </c>
      <c r="MN9" s="10" t="str">
        <f aca="false">IF(SUMPRODUCT((Отпуска!$A$5:$A$17=$A9)*(Отпуска!$B$5:$B$17&lt;=MN$5)*(Отпуска!$D$5:$D$17&gt;=MN$5))&gt;0,"О","")</f>
        <v/>
      </c>
      <c r="MO9" s="10" t="str">
        <f aca="false">IF(SUMPRODUCT((Отпуска!$A$5:$A$17=$A9)*(Отпуска!$B$5:$B$17&lt;=MO$5)*(Отпуска!$D$5:$D$17&gt;=MO$5))&gt;0,"О","")</f>
        <v>О</v>
      </c>
      <c r="MP9" s="10" t="str">
        <f aca="false">IF(SUMPRODUCT((Отпуска!$A$5:$A$17=$A9)*(Отпуска!$B$5:$B$17&lt;=MP$5)*(Отпуска!$D$5:$D$17&gt;=MP$5))&gt;0,"О","")</f>
        <v>О</v>
      </c>
      <c r="MQ9" s="10" t="str">
        <f aca="false">IF(SUMPRODUCT((Отпуска!$A$5:$A$17=$A9)*(Отпуска!$B$5:$B$17&lt;=MQ$5)*(Отпуска!$D$5:$D$17&gt;=MQ$5))&gt;0,"О","")</f>
        <v>О</v>
      </c>
      <c r="MR9" s="10" t="str">
        <f aca="false">IF(SUMPRODUCT((Отпуска!$A$5:$A$17=$A9)*(Отпуска!$B$5:$B$17&lt;=MR$5)*(Отпуска!$D$5:$D$17&gt;=MR$5))&gt;0,"О","")</f>
        <v>О</v>
      </c>
      <c r="MS9" s="10" t="str">
        <f aca="false">IF(SUMPRODUCT((Отпуска!$A$5:$A$17=$A9)*(Отпуска!$B$5:$B$17&lt;=MS$5)*(Отпуска!$D$5:$D$17&gt;=MS$5))&gt;0,"О","")</f>
        <v>О</v>
      </c>
      <c r="MT9" s="10" t="str">
        <f aca="false">IF(SUMPRODUCT((Отпуска!$A$5:$A$17=$A9)*(Отпуска!$B$5:$B$17&lt;=MT$5)*(Отпуска!$D$5:$D$17&gt;=MT$5))&gt;0,"О","")</f>
        <v>О</v>
      </c>
      <c r="MU9" s="10" t="str">
        <f aca="false">IF(SUMPRODUCT((Отпуска!$A$5:$A$17=$A9)*(Отпуска!$B$5:$B$17&lt;=MU$5)*(Отпуска!$D$5:$D$17&gt;=MU$5))&gt;0,"О","")</f>
        <v>О</v>
      </c>
      <c r="MV9" s="10" t="str">
        <f aca="false">IF(SUMPRODUCT((Отпуска!$A$5:$A$17=$A9)*(Отпуска!$B$5:$B$17&lt;=MV$5)*(Отпуска!$D$5:$D$17&gt;=MV$5))&gt;0,"О","")</f>
        <v>О</v>
      </c>
      <c r="MW9" s="10" t="str">
        <f aca="false">IF(SUMPRODUCT((Отпуска!$A$5:$A$17=$A9)*(Отпуска!$B$5:$B$17&lt;=MW$5)*(Отпуска!$D$5:$D$17&gt;=MW$5))&gt;0,"О","")</f>
        <v>О</v>
      </c>
      <c r="MX9" s="10" t="str">
        <f aca="false">IF(SUMPRODUCT((Отпуска!$A$5:$A$17=$A9)*(Отпуска!$B$5:$B$17&lt;=MX$5)*(Отпуска!$D$5:$D$17&gt;=MX$5))&gt;0,"О","")</f>
        <v>О</v>
      </c>
      <c r="MY9" s="10" t="str">
        <f aca="false">IF(SUMPRODUCT((Отпуска!$A$5:$A$17=$A9)*(Отпуска!$B$5:$B$17&lt;=MY$5)*(Отпуска!$D$5:$D$17&gt;=MY$5))&gt;0,"О","")</f>
        <v>О</v>
      </c>
      <c r="MZ9" s="10" t="str">
        <f aca="false">IF(SUMPRODUCT((Отпуска!$A$5:$A$17=$A9)*(Отпуска!$B$5:$B$17&lt;=MZ$5)*(Отпуска!$D$5:$D$17&gt;=MZ$5))&gt;0,"О","")</f>
        <v>О</v>
      </c>
      <c r="NA9" s="10" t="str">
        <f aca="false">IF(SUMPRODUCT((Отпуска!$A$5:$A$17=$A9)*(Отпуска!$B$5:$B$17&lt;=NA$5)*(Отпуска!$D$5:$D$17&gt;=NA$5))&gt;0,"О","")</f>
        <v>О</v>
      </c>
      <c r="NB9" s="10" t="str">
        <f aca="false">IF(SUMPRODUCT((Отпуска!$A$5:$A$17=$A9)*(Отпуска!$B$5:$B$17&lt;=NB$5)*(Отпуска!$D$5:$D$17&gt;=NB$5))&gt;0,"О","")</f>
        <v>О</v>
      </c>
      <c r="NC9" s="10" t="str">
        <f aca="false">IF(SUMPRODUCT((Отпуска!$A$5:$A$17=$A9)*(Отпуска!$B$5:$B$17&lt;=NC$5)*(Отпуска!$D$5:$D$17&gt;=NC$5))&gt;0,"О","")</f>
        <v>О</v>
      </c>
      <c r="ND9" s="10" t="str">
        <f aca="false">IF(SUMPRODUCT((Отпуска!$A$5:$A$17=$A9)*(Отпуска!$B$5:$B$17&lt;=ND$5)*(Отпуска!$D$5:$D$17&gt;=ND$5))&gt;0,"О","")</f>
        <v/>
      </c>
    </row>
    <row r="10" customFormat="false" ht="18" hidden="false" customHeight="true" outlineLevel="0" collapsed="false">
      <c r="A10" s="13" t="s">
        <v>20</v>
      </c>
      <c r="B10" s="9" t="n">
        <f aca="false">COUNTIF(D10:ND10,"О")</f>
        <v>57</v>
      </c>
      <c r="C10" s="9" t="n">
        <f aca="false">SUMIF(Отпуска!$A$5:$A$17,$A10,Отпуска!$C$5:$C$17)</f>
        <v>57</v>
      </c>
      <c r="D10" s="10" t="str">
        <f aca="false">IF(SUMPRODUCT((Отпуска!$A$5:$A$17=$A10)*(Отпуска!$B$5:$B$17&lt;=D$5)*(Отпуска!$D$5:$D$17&gt;=D$5))&gt;0,"О","")</f>
        <v/>
      </c>
      <c r="E10" s="10" t="str">
        <f aca="false">IF(SUMPRODUCT((Отпуска!$A$5:$A$17=$A10)*(Отпуска!$B$5:$B$17&lt;=E$5)*(Отпуска!$D$5:$D$17&gt;=E$5))&gt;0,"О","")</f>
        <v/>
      </c>
      <c r="F10" s="10" t="str">
        <f aca="false">IF(SUMPRODUCT((Отпуска!$A$5:$A$17=$A10)*(Отпуска!$B$5:$B$17&lt;=F$5)*(Отпуска!$D$5:$D$17&gt;=F$5))&gt;0,"О","")</f>
        <v/>
      </c>
      <c r="G10" s="10" t="str">
        <f aca="false">IF(SUMPRODUCT((Отпуска!$A$5:$A$17=$A10)*(Отпуска!$B$5:$B$17&lt;=G$5)*(Отпуска!$D$5:$D$17&gt;=G$5))&gt;0,"О","")</f>
        <v/>
      </c>
      <c r="H10" s="10" t="str">
        <f aca="false">IF(SUMPRODUCT((Отпуска!$A$5:$A$17=$A10)*(Отпуска!$B$5:$B$17&lt;=H$5)*(Отпуска!$D$5:$D$17&gt;=H$5))&gt;0,"О","")</f>
        <v/>
      </c>
      <c r="I10" s="10" t="str">
        <f aca="false">IF(SUMPRODUCT((Отпуска!$A$5:$A$17=$A10)*(Отпуска!$B$5:$B$17&lt;=I$5)*(Отпуска!$D$5:$D$17&gt;=I$5))&gt;0,"О","")</f>
        <v/>
      </c>
      <c r="J10" s="10" t="str">
        <f aca="false">IF(SUMPRODUCT((Отпуска!$A$5:$A$17=$A10)*(Отпуска!$B$5:$B$17&lt;=J$5)*(Отпуска!$D$5:$D$17&gt;=J$5))&gt;0,"О","")</f>
        <v/>
      </c>
      <c r="K10" s="10" t="str">
        <f aca="false">IF(SUMPRODUCT((Отпуска!$A$5:$A$17=$A10)*(Отпуска!$B$5:$B$17&lt;=K$5)*(Отпуска!$D$5:$D$17&gt;=K$5))&gt;0,"О","")</f>
        <v/>
      </c>
      <c r="L10" s="10" t="str">
        <f aca="false">IF(SUMPRODUCT((Отпуска!$A$5:$A$17=$A10)*(Отпуска!$B$5:$B$17&lt;=L$5)*(Отпуска!$D$5:$D$17&gt;=L$5))&gt;0,"О","")</f>
        <v/>
      </c>
      <c r="M10" s="10" t="str">
        <f aca="false">IF(SUMPRODUCT((Отпуска!$A$5:$A$17=$A10)*(Отпуска!$B$5:$B$17&lt;=M$5)*(Отпуска!$D$5:$D$17&gt;=M$5))&gt;0,"О","")</f>
        <v/>
      </c>
      <c r="N10" s="10" t="str">
        <f aca="false">IF(SUMPRODUCT((Отпуска!$A$5:$A$17=$A10)*(Отпуска!$B$5:$B$17&lt;=N$5)*(Отпуска!$D$5:$D$17&gt;=N$5))&gt;0,"О","")</f>
        <v/>
      </c>
      <c r="O10" s="10" t="str">
        <f aca="false">IF(SUMPRODUCT((Отпуска!$A$5:$A$17=$A10)*(Отпуска!$B$5:$B$17&lt;=O$5)*(Отпуска!$D$5:$D$17&gt;=O$5))&gt;0,"О","")</f>
        <v/>
      </c>
      <c r="P10" s="10" t="str">
        <f aca="false">IF(SUMPRODUCT((Отпуска!$A$5:$A$17=$A10)*(Отпуска!$B$5:$B$17&lt;=P$5)*(Отпуска!$D$5:$D$17&gt;=P$5))&gt;0,"О","")</f>
        <v/>
      </c>
      <c r="Q10" s="10" t="str">
        <f aca="false">IF(SUMPRODUCT((Отпуска!$A$5:$A$17=$A10)*(Отпуска!$B$5:$B$17&lt;=Q$5)*(Отпуска!$D$5:$D$17&gt;=Q$5))&gt;0,"О","")</f>
        <v/>
      </c>
      <c r="R10" s="10" t="str">
        <f aca="false">IF(SUMPRODUCT((Отпуска!$A$5:$A$17=$A10)*(Отпуска!$B$5:$B$17&lt;=R$5)*(Отпуска!$D$5:$D$17&gt;=R$5))&gt;0,"О","")</f>
        <v/>
      </c>
      <c r="S10" s="10" t="str">
        <f aca="false">IF(SUMPRODUCT((Отпуска!$A$5:$A$17=$A10)*(Отпуска!$B$5:$B$17&lt;=S$5)*(Отпуска!$D$5:$D$17&gt;=S$5))&gt;0,"О","")</f>
        <v/>
      </c>
      <c r="T10" s="10" t="str">
        <f aca="false">IF(SUMPRODUCT((Отпуска!$A$5:$A$17=$A10)*(Отпуска!$B$5:$B$17&lt;=T$5)*(Отпуска!$D$5:$D$17&gt;=T$5))&gt;0,"О","")</f>
        <v/>
      </c>
      <c r="U10" s="10" t="str">
        <f aca="false">IF(SUMPRODUCT((Отпуска!$A$5:$A$17=$A10)*(Отпуска!$B$5:$B$17&lt;=U$5)*(Отпуска!$D$5:$D$17&gt;=U$5))&gt;0,"О","")</f>
        <v/>
      </c>
      <c r="V10" s="10" t="str">
        <f aca="false">IF(SUMPRODUCT((Отпуска!$A$5:$A$17=$A10)*(Отпуска!$B$5:$B$17&lt;=V$5)*(Отпуска!$D$5:$D$17&gt;=V$5))&gt;0,"О","")</f>
        <v/>
      </c>
      <c r="W10" s="10" t="str">
        <f aca="false">IF(SUMPRODUCT((Отпуска!$A$5:$A$17=$A10)*(Отпуска!$B$5:$B$17&lt;=W$5)*(Отпуска!$D$5:$D$17&gt;=W$5))&gt;0,"О","")</f>
        <v/>
      </c>
      <c r="X10" s="10" t="str">
        <f aca="false">IF(SUMPRODUCT((Отпуска!$A$5:$A$17=$A10)*(Отпуска!$B$5:$B$17&lt;=X$5)*(Отпуска!$D$5:$D$17&gt;=X$5))&gt;0,"О","")</f>
        <v/>
      </c>
      <c r="Y10" s="10" t="str">
        <f aca="false">IF(SUMPRODUCT((Отпуска!$A$5:$A$17=$A10)*(Отпуска!$B$5:$B$17&lt;=Y$5)*(Отпуска!$D$5:$D$17&gt;=Y$5))&gt;0,"О","")</f>
        <v/>
      </c>
      <c r="Z10" s="10" t="str">
        <f aca="false">IF(SUMPRODUCT((Отпуска!$A$5:$A$17=$A10)*(Отпуска!$B$5:$B$17&lt;=Z$5)*(Отпуска!$D$5:$D$17&gt;=Z$5))&gt;0,"О","")</f>
        <v/>
      </c>
      <c r="AA10" s="10" t="str">
        <f aca="false">IF(SUMPRODUCT((Отпуска!$A$5:$A$17=$A10)*(Отпуска!$B$5:$B$17&lt;=AA$5)*(Отпуска!$D$5:$D$17&gt;=AA$5))&gt;0,"О","")</f>
        <v/>
      </c>
      <c r="AB10" s="10" t="str">
        <f aca="false">IF(SUMPRODUCT((Отпуска!$A$5:$A$17=$A10)*(Отпуска!$B$5:$B$17&lt;=AB$5)*(Отпуска!$D$5:$D$17&gt;=AB$5))&gt;0,"О","")</f>
        <v/>
      </c>
      <c r="AC10" s="10" t="str">
        <f aca="false">IF(SUMPRODUCT((Отпуска!$A$5:$A$17=$A10)*(Отпуска!$B$5:$B$17&lt;=AC$5)*(Отпуска!$D$5:$D$17&gt;=AC$5))&gt;0,"О","")</f>
        <v/>
      </c>
      <c r="AD10" s="10" t="str">
        <f aca="false">IF(SUMPRODUCT((Отпуска!$A$5:$A$17=$A10)*(Отпуска!$B$5:$B$17&lt;=AD$5)*(Отпуска!$D$5:$D$17&gt;=AD$5))&gt;0,"О","")</f>
        <v/>
      </c>
      <c r="AE10" s="10" t="str">
        <f aca="false">IF(SUMPRODUCT((Отпуска!$A$5:$A$17=$A10)*(Отпуска!$B$5:$B$17&lt;=AE$5)*(Отпуска!$D$5:$D$17&gt;=AE$5))&gt;0,"О","")</f>
        <v/>
      </c>
      <c r="AF10" s="10" t="str">
        <f aca="false">IF(SUMPRODUCT((Отпуска!$A$5:$A$17=$A10)*(Отпуска!$B$5:$B$17&lt;=AF$5)*(Отпуска!$D$5:$D$17&gt;=AF$5))&gt;0,"О","")</f>
        <v/>
      </c>
      <c r="AG10" s="10" t="str">
        <f aca="false">IF(SUMPRODUCT((Отпуска!$A$5:$A$17=$A10)*(Отпуска!$B$5:$B$17&lt;=AG$5)*(Отпуска!$D$5:$D$17&gt;=AG$5))&gt;0,"О","")</f>
        <v/>
      </c>
      <c r="AH10" s="10" t="str">
        <f aca="false">IF(SUMPRODUCT((Отпуска!$A$5:$A$17=$A10)*(Отпуска!$B$5:$B$17&lt;=AH$5)*(Отпуска!$D$5:$D$17&gt;=AH$5))&gt;0,"О","")</f>
        <v/>
      </c>
      <c r="AI10" s="10" t="str">
        <f aca="false">IF(SUMPRODUCT((Отпуска!$A$5:$A$17=$A10)*(Отпуска!$B$5:$B$17&lt;=AI$5)*(Отпуска!$D$5:$D$17&gt;=AI$5))&gt;0,"О","")</f>
        <v/>
      </c>
      <c r="AJ10" s="10" t="str">
        <f aca="false">IF(SUMPRODUCT((Отпуска!$A$5:$A$17=$A10)*(Отпуска!$B$5:$B$17&lt;=AJ$5)*(Отпуска!$D$5:$D$17&gt;=AJ$5))&gt;0,"О","")</f>
        <v/>
      </c>
      <c r="AK10" s="10" t="str">
        <f aca="false">IF(SUMPRODUCT((Отпуска!$A$5:$A$17=$A10)*(Отпуска!$B$5:$B$17&lt;=AK$5)*(Отпуска!$D$5:$D$17&gt;=AK$5))&gt;0,"О","")</f>
        <v/>
      </c>
      <c r="AL10" s="10" t="str">
        <f aca="false">IF(SUMPRODUCT((Отпуска!$A$5:$A$17=$A10)*(Отпуска!$B$5:$B$17&lt;=AL$5)*(Отпуска!$D$5:$D$17&gt;=AL$5))&gt;0,"О","")</f>
        <v/>
      </c>
      <c r="AM10" s="10" t="str">
        <f aca="false">IF(SUMPRODUCT((Отпуска!$A$5:$A$17=$A10)*(Отпуска!$B$5:$B$17&lt;=AM$5)*(Отпуска!$D$5:$D$17&gt;=AM$5))&gt;0,"О","")</f>
        <v/>
      </c>
      <c r="AN10" s="10" t="str">
        <f aca="false">IF(SUMPRODUCT((Отпуска!$A$5:$A$17=$A10)*(Отпуска!$B$5:$B$17&lt;=AN$5)*(Отпуска!$D$5:$D$17&gt;=AN$5))&gt;0,"О","")</f>
        <v/>
      </c>
      <c r="AO10" s="10" t="str">
        <f aca="false">IF(SUMPRODUCT((Отпуска!$A$5:$A$17=$A10)*(Отпуска!$B$5:$B$17&lt;=AO$5)*(Отпуска!$D$5:$D$17&gt;=AO$5))&gt;0,"О","")</f>
        <v/>
      </c>
      <c r="AP10" s="10" t="str">
        <f aca="false">IF(SUMPRODUCT((Отпуска!$A$5:$A$17=$A10)*(Отпуска!$B$5:$B$17&lt;=AP$5)*(Отпуска!$D$5:$D$17&gt;=AP$5))&gt;0,"О","")</f>
        <v/>
      </c>
      <c r="AQ10" s="10" t="str">
        <f aca="false">IF(SUMPRODUCT((Отпуска!$A$5:$A$17=$A10)*(Отпуска!$B$5:$B$17&lt;=AQ$5)*(Отпуска!$D$5:$D$17&gt;=AQ$5))&gt;0,"О","")</f>
        <v/>
      </c>
      <c r="AR10" s="10" t="str">
        <f aca="false">IF(SUMPRODUCT((Отпуска!$A$5:$A$17=$A10)*(Отпуска!$B$5:$B$17&lt;=AR$5)*(Отпуска!$D$5:$D$17&gt;=AR$5))&gt;0,"О","")</f>
        <v/>
      </c>
      <c r="AS10" s="10" t="str">
        <f aca="false">IF(SUMPRODUCT((Отпуска!$A$5:$A$17=$A10)*(Отпуска!$B$5:$B$17&lt;=AS$5)*(Отпуска!$D$5:$D$17&gt;=AS$5))&gt;0,"О","")</f>
        <v/>
      </c>
      <c r="AT10" s="10" t="str">
        <f aca="false">IF(SUMPRODUCT((Отпуска!$A$5:$A$17=$A10)*(Отпуска!$B$5:$B$17&lt;=AT$5)*(Отпуска!$D$5:$D$17&gt;=AT$5))&gt;0,"О","")</f>
        <v/>
      </c>
      <c r="AU10" s="10" t="str">
        <f aca="false">IF(SUMPRODUCT((Отпуска!$A$5:$A$17=$A10)*(Отпуска!$B$5:$B$17&lt;=AU$5)*(Отпуска!$D$5:$D$17&gt;=AU$5))&gt;0,"О","")</f>
        <v/>
      </c>
      <c r="AV10" s="10" t="str">
        <f aca="false">IF(SUMPRODUCT((Отпуска!$A$5:$A$17=$A10)*(Отпуска!$B$5:$B$17&lt;=AV$5)*(Отпуска!$D$5:$D$17&gt;=AV$5))&gt;0,"О","")</f>
        <v/>
      </c>
      <c r="AW10" s="10" t="str">
        <f aca="false">IF(SUMPRODUCT((Отпуска!$A$5:$A$17=$A10)*(Отпуска!$B$5:$B$17&lt;=AW$5)*(Отпуска!$D$5:$D$17&gt;=AW$5))&gt;0,"О","")</f>
        <v/>
      </c>
      <c r="AX10" s="10" t="str">
        <f aca="false">IF(SUMPRODUCT((Отпуска!$A$5:$A$17=$A10)*(Отпуска!$B$5:$B$17&lt;=AX$5)*(Отпуска!$D$5:$D$17&gt;=AX$5))&gt;0,"О","")</f>
        <v/>
      </c>
      <c r="AY10" s="10" t="str">
        <f aca="false">IF(SUMPRODUCT((Отпуска!$A$5:$A$17=$A10)*(Отпуска!$B$5:$B$17&lt;=AY$5)*(Отпуска!$D$5:$D$17&gt;=AY$5))&gt;0,"О","")</f>
        <v/>
      </c>
      <c r="AZ10" s="10" t="str">
        <f aca="false">IF(SUMPRODUCT((Отпуска!$A$5:$A$17=$A10)*(Отпуска!$B$5:$B$17&lt;=AZ$5)*(Отпуска!$D$5:$D$17&gt;=AZ$5))&gt;0,"О","")</f>
        <v/>
      </c>
      <c r="BA10" s="10" t="str">
        <f aca="false">IF(SUMPRODUCT((Отпуска!$A$5:$A$17=$A10)*(Отпуска!$B$5:$B$17&lt;=BA$5)*(Отпуска!$D$5:$D$17&gt;=BA$5))&gt;0,"О","")</f>
        <v/>
      </c>
      <c r="BB10" s="10" t="str">
        <f aca="false">IF(SUMPRODUCT((Отпуска!$A$5:$A$17=$A10)*(Отпуска!$B$5:$B$17&lt;=BB$5)*(Отпуска!$D$5:$D$17&gt;=BB$5))&gt;0,"О","")</f>
        <v/>
      </c>
      <c r="BC10" s="10" t="str">
        <f aca="false">IF(SUMPRODUCT((Отпуска!$A$5:$A$17=$A10)*(Отпуска!$B$5:$B$17&lt;=BC$5)*(Отпуска!$D$5:$D$17&gt;=BC$5))&gt;0,"О","")</f>
        <v/>
      </c>
      <c r="BD10" s="10" t="str">
        <f aca="false">IF(SUMPRODUCT((Отпуска!$A$5:$A$17=$A10)*(Отпуска!$B$5:$B$17&lt;=BD$5)*(Отпуска!$D$5:$D$17&gt;=BD$5))&gt;0,"О","")</f>
        <v/>
      </c>
      <c r="BE10" s="10" t="str">
        <f aca="false">IF(SUMPRODUCT((Отпуска!$A$5:$A$17=$A10)*(Отпуска!$B$5:$B$17&lt;=BE$5)*(Отпуска!$D$5:$D$17&gt;=BE$5))&gt;0,"О","")</f>
        <v/>
      </c>
      <c r="BF10" s="10" t="str">
        <f aca="false">IF(SUMPRODUCT((Отпуска!$A$5:$A$17=$A10)*(Отпуска!$B$5:$B$17&lt;=BF$5)*(Отпуска!$D$5:$D$17&gt;=BF$5))&gt;0,"О","")</f>
        <v/>
      </c>
      <c r="BG10" s="10" t="str">
        <f aca="false">IF(SUMPRODUCT((Отпуска!$A$5:$A$17=$A10)*(Отпуска!$B$5:$B$17&lt;=BG$5)*(Отпуска!$D$5:$D$17&gt;=BG$5))&gt;0,"О","")</f>
        <v/>
      </c>
      <c r="BH10" s="10" t="str">
        <f aca="false">IF(SUMPRODUCT((Отпуска!$A$5:$A$17=$A10)*(Отпуска!$B$5:$B$17&lt;=BH$5)*(Отпуска!$D$5:$D$17&gt;=BH$5))&gt;0,"О","")</f>
        <v/>
      </c>
      <c r="BI10" s="10" t="str">
        <f aca="false">IF(SUMPRODUCT((Отпуска!$A$5:$A$17=$A10)*(Отпуска!$B$5:$B$17&lt;=BI$5)*(Отпуска!$D$5:$D$17&gt;=BI$5))&gt;0,"О","")</f>
        <v/>
      </c>
      <c r="BJ10" s="10" t="str">
        <f aca="false">IF(SUMPRODUCT((Отпуска!$A$5:$A$17=$A10)*(Отпуска!$B$5:$B$17&lt;=BJ$5)*(Отпуска!$D$5:$D$17&gt;=BJ$5))&gt;0,"О","")</f>
        <v/>
      </c>
      <c r="BK10" s="10" t="str">
        <f aca="false">IF(SUMPRODUCT((Отпуска!$A$5:$A$17=$A10)*(Отпуска!$B$5:$B$17&lt;=BK$5)*(Отпуска!$D$5:$D$17&gt;=BK$5))&gt;0,"О","")</f>
        <v/>
      </c>
      <c r="BL10" s="10" t="str">
        <f aca="false">IF(SUMPRODUCT((Отпуска!$A$5:$A$17=$A10)*(Отпуска!$B$5:$B$17&lt;=BL$5)*(Отпуска!$D$5:$D$17&gt;=BL$5))&gt;0,"О","")</f>
        <v/>
      </c>
      <c r="BM10" s="10" t="str">
        <f aca="false">IF(SUMPRODUCT((Отпуска!$A$5:$A$17=$A10)*(Отпуска!$B$5:$B$17&lt;=BM$5)*(Отпуска!$D$5:$D$17&gt;=BM$5))&gt;0,"О","")</f>
        <v/>
      </c>
      <c r="BN10" s="10" t="str">
        <f aca="false">IF(SUMPRODUCT((Отпуска!$A$5:$A$17=$A10)*(Отпуска!$B$5:$B$17&lt;=BN$5)*(Отпуска!$D$5:$D$17&gt;=BN$5))&gt;0,"О","")</f>
        <v/>
      </c>
      <c r="BO10" s="10" t="str">
        <f aca="false">IF(SUMPRODUCT((Отпуска!$A$5:$A$17=$A10)*(Отпуска!$B$5:$B$17&lt;=BO$5)*(Отпуска!$D$5:$D$17&gt;=BO$5))&gt;0,"О","")</f>
        <v/>
      </c>
      <c r="BP10" s="10" t="str">
        <f aca="false">IF(SUMPRODUCT((Отпуска!$A$5:$A$17=$A10)*(Отпуска!$B$5:$B$17&lt;=BP$5)*(Отпуска!$D$5:$D$17&gt;=BP$5))&gt;0,"О","")</f>
        <v/>
      </c>
      <c r="BQ10" s="10" t="str">
        <f aca="false">IF(SUMPRODUCT((Отпуска!$A$5:$A$17=$A10)*(Отпуска!$B$5:$B$17&lt;=BQ$5)*(Отпуска!$D$5:$D$17&gt;=BQ$5))&gt;0,"О","")</f>
        <v/>
      </c>
      <c r="BR10" s="10" t="str">
        <f aca="false">IF(SUMPRODUCT((Отпуска!$A$5:$A$17=$A10)*(Отпуска!$B$5:$B$17&lt;=BR$5)*(Отпуска!$D$5:$D$17&gt;=BR$5))&gt;0,"О","")</f>
        <v/>
      </c>
      <c r="BS10" s="10" t="str">
        <f aca="false">IF(SUMPRODUCT((Отпуска!$A$5:$A$17=$A10)*(Отпуска!$B$5:$B$17&lt;=BS$5)*(Отпуска!$D$5:$D$17&gt;=BS$5))&gt;0,"О","")</f>
        <v>О</v>
      </c>
      <c r="BT10" s="10" t="str">
        <f aca="false">IF(SUMPRODUCT((Отпуска!$A$5:$A$17=$A10)*(Отпуска!$B$5:$B$17&lt;=BT$5)*(Отпуска!$D$5:$D$17&gt;=BT$5))&gt;0,"О","")</f>
        <v>О</v>
      </c>
      <c r="BU10" s="10" t="str">
        <f aca="false">IF(SUMPRODUCT((Отпуска!$A$5:$A$17=$A10)*(Отпуска!$B$5:$B$17&lt;=BU$5)*(Отпуска!$D$5:$D$17&gt;=BU$5))&gt;0,"О","")</f>
        <v>О</v>
      </c>
      <c r="BV10" s="10" t="str">
        <f aca="false">IF(SUMPRODUCT((Отпуска!$A$5:$A$17=$A10)*(Отпуска!$B$5:$B$17&lt;=BV$5)*(Отпуска!$D$5:$D$17&gt;=BV$5))&gt;0,"О","")</f>
        <v>О</v>
      </c>
      <c r="BW10" s="10" t="str">
        <f aca="false">IF(SUMPRODUCT((Отпуска!$A$5:$A$17=$A10)*(Отпуска!$B$5:$B$17&lt;=BW$5)*(Отпуска!$D$5:$D$17&gt;=BW$5))&gt;0,"О","")</f>
        <v>О</v>
      </c>
      <c r="BX10" s="10" t="str">
        <f aca="false">IF(SUMPRODUCT((Отпуска!$A$5:$A$17=$A10)*(Отпуска!$B$5:$B$17&lt;=BX$5)*(Отпуска!$D$5:$D$17&gt;=BX$5))&gt;0,"О","")</f>
        <v>О</v>
      </c>
      <c r="BY10" s="10" t="str">
        <f aca="false">IF(SUMPRODUCT((Отпуска!$A$5:$A$17=$A10)*(Отпуска!$B$5:$B$17&lt;=BY$5)*(Отпуска!$D$5:$D$17&gt;=BY$5))&gt;0,"О","")</f>
        <v>О</v>
      </c>
      <c r="BZ10" s="10" t="str">
        <f aca="false">IF(SUMPRODUCT((Отпуска!$A$5:$A$17=$A10)*(Отпуска!$B$5:$B$17&lt;=BZ$5)*(Отпуска!$D$5:$D$17&gt;=BZ$5))&gt;0,"О","")</f>
        <v>О</v>
      </c>
      <c r="CA10" s="10" t="str">
        <f aca="false">IF(SUMPRODUCT((Отпуска!$A$5:$A$17=$A10)*(Отпуска!$B$5:$B$17&lt;=CA$5)*(Отпуска!$D$5:$D$17&gt;=CA$5))&gt;0,"О","")</f>
        <v>О</v>
      </c>
      <c r="CB10" s="10" t="str">
        <f aca="false">IF(SUMPRODUCT((Отпуска!$A$5:$A$17=$A10)*(Отпуска!$B$5:$B$17&lt;=CB$5)*(Отпуска!$D$5:$D$17&gt;=CB$5))&gt;0,"О","")</f>
        <v>О</v>
      </c>
      <c r="CC10" s="10" t="str">
        <f aca="false">IF(SUMPRODUCT((Отпуска!$A$5:$A$17=$A10)*(Отпуска!$B$5:$B$17&lt;=CC$5)*(Отпуска!$D$5:$D$17&gt;=CC$5))&gt;0,"О","")</f>
        <v>О</v>
      </c>
      <c r="CD10" s="10" t="str">
        <f aca="false">IF(SUMPRODUCT((Отпуска!$A$5:$A$17=$A10)*(Отпуска!$B$5:$B$17&lt;=CD$5)*(Отпуска!$D$5:$D$17&gt;=CD$5))&gt;0,"О","")</f>
        <v>О</v>
      </c>
      <c r="CE10" s="10" t="str">
        <f aca="false">IF(SUMPRODUCT((Отпуска!$A$5:$A$17=$A10)*(Отпуска!$B$5:$B$17&lt;=CE$5)*(Отпуска!$D$5:$D$17&gt;=CE$5))&gt;0,"О","")</f>
        <v>О</v>
      </c>
      <c r="CF10" s="10" t="str">
        <f aca="false">IF(SUMPRODUCT((Отпуска!$A$5:$A$17=$A10)*(Отпуска!$B$5:$B$17&lt;=CF$5)*(Отпуска!$D$5:$D$17&gt;=CF$5))&gt;0,"О","")</f>
        <v>О</v>
      </c>
      <c r="CG10" s="10" t="str">
        <f aca="false">IF(SUMPRODUCT((Отпуска!$A$5:$A$17=$A10)*(Отпуска!$B$5:$B$17&lt;=CG$5)*(Отпуска!$D$5:$D$17&gt;=CG$5))&gt;0,"О","")</f>
        <v>О</v>
      </c>
      <c r="CH10" s="10" t="str">
        <f aca="false">IF(SUMPRODUCT((Отпуска!$A$5:$A$17=$A10)*(Отпуска!$B$5:$B$17&lt;=CH$5)*(Отпуска!$D$5:$D$17&gt;=CH$5))&gt;0,"О","")</f>
        <v>О</v>
      </c>
      <c r="CI10" s="10" t="str">
        <f aca="false">IF(SUMPRODUCT((Отпуска!$A$5:$A$17=$A10)*(Отпуска!$B$5:$B$17&lt;=CI$5)*(Отпуска!$D$5:$D$17&gt;=CI$5))&gt;0,"О","")</f>
        <v>О</v>
      </c>
      <c r="CJ10" s="10" t="str">
        <f aca="false">IF(SUMPRODUCT((Отпуска!$A$5:$A$17=$A10)*(Отпуска!$B$5:$B$17&lt;=CJ$5)*(Отпуска!$D$5:$D$17&gt;=CJ$5))&gt;0,"О","")</f>
        <v>О</v>
      </c>
      <c r="CK10" s="10" t="str">
        <f aca="false">IF(SUMPRODUCT((Отпуска!$A$5:$A$17=$A10)*(Отпуска!$B$5:$B$17&lt;=CK$5)*(Отпуска!$D$5:$D$17&gt;=CK$5))&gt;0,"О","")</f>
        <v/>
      </c>
      <c r="CL10" s="10" t="str">
        <f aca="false">IF(SUMPRODUCT((Отпуска!$A$5:$A$17=$A10)*(Отпуска!$B$5:$B$17&lt;=CL$5)*(Отпуска!$D$5:$D$17&gt;=CL$5))&gt;0,"О","")</f>
        <v/>
      </c>
      <c r="CM10" s="10" t="str">
        <f aca="false">IF(SUMPRODUCT((Отпуска!$A$5:$A$17=$A10)*(Отпуска!$B$5:$B$17&lt;=CM$5)*(Отпуска!$D$5:$D$17&gt;=CM$5))&gt;0,"О","")</f>
        <v/>
      </c>
      <c r="CN10" s="10" t="str">
        <f aca="false">IF(SUMPRODUCT((Отпуска!$A$5:$A$17=$A10)*(Отпуска!$B$5:$B$17&lt;=CN$5)*(Отпуска!$D$5:$D$17&gt;=CN$5))&gt;0,"О","")</f>
        <v/>
      </c>
      <c r="CO10" s="10" t="str">
        <f aca="false">IF(SUMPRODUCT((Отпуска!$A$5:$A$17=$A10)*(Отпуска!$B$5:$B$17&lt;=CO$5)*(Отпуска!$D$5:$D$17&gt;=CO$5))&gt;0,"О","")</f>
        <v/>
      </c>
      <c r="CP10" s="10" t="str">
        <f aca="false">IF(SUMPRODUCT((Отпуска!$A$5:$A$17=$A10)*(Отпуска!$B$5:$B$17&lt;=CP$5)*(Отпуска!$D$5:$D$17&gt;=CP$5))&gt;0,"О","")</f>
        <v/>
      </c>
      <c r="CQ10" s="10" t="str">
        <f aca="false">IF(SUMPRODUCT((Отпуска!$A$5:$A$17=$A10)*(Отпуска!$B$5:$B$17&lt;=CQ$5)*(Отпуска!$D$5:$D$17&gt;=CQ$5))&gt;0,"О","")</f>
        <v/>
      </c>
      <c r="CR10" s="10" t="str">
        <f aca="false">IF(SUMPRODUCT((Отпуска!$A$5:$A$17=$A10)*(Отпуска!$B$5:$B$17&lt;=CR$5)*(Отпуска!$D$5:$D$17&gt;=CR$5))&gt;0,"О","")</f>
        <v/>
      </c>
      <c r="CS10" s="10" t="str">
        <f aca="false">IF(SUMPRODUCT((Отпуска!$A$5:$A$17=$A10)*(Отпуска!$B$5:$B$17&lt;=CS$5)*(Отпуска!$D$5:$D$17&gt;=CS$5))&gt;0,"О","")</f>
        <v/>
      </c>
      <c r="CT10" s="10" t="str">
        <f aca="false">IF(SUMPRODUCT((Отпуска!$A$5:$A$17=$A10)*(Отпуска!$B$5:$B$17&lt;=CT$5)*(Отпуска!$D$5:$D$17&gt;=CT$5))&gt;0,"О","")</f>
        <v/>
      </c>
      <c r="CU10" s="10" t="str">
        <f aca="false">IF(SUMPRODUCT((Отпуска!$A$5:$A$17=$A10)*(Отпуска!$B$5:$B$17&lt;=CU$5)*(Отпуска!$D$5:$D$17&gt;=CU$5))&gt;0,"О","")</f>
        <v/>
      </c>
      <c r="CV10" s="10" t="str">
        <f aca="false">IF(SUMPRODUCT((Отпуска!$A$5:$A$17=$A10)*(Отпуска!$B$5:$B$17&lt;=CV$5)*(Отпуска!$D$5:$D$17&gt;=CV$5))&gt;0,"О","")</f>
        <v/>
      </c>
      <c r="CW10" s="10" t="str">
        <f aca="false">IF(SUMPRODUCT((Отпуска!$A$5:$A$17=$A10)*(Отпуска!$B$5:$B$17&lt;=CW$5)*(Отпуска!$D$5:$D$17&gt;=CW$5))&gt;0,"О","")</f>
        <v/>
      </c>
      <c r="CX10" s="10" t="str">
        <f aca="false">IF(SUMPRODUCT((Отпуска!$A$5:$A$17=$A10)*(Отпуска!$B$5:$B$17&lt;=CX$5)*(Отпуска!$D$5:$D$17&gt;=CX$5))&gt;0,"О","")</f>
        <v/>
      </c>
      <c r="CY10" s="10" t="str">
        <f aca="false">IF(SUMPRODUCT((Отпуска!$A$5:$A$17=$A10)*(Отпуска!$B$5:$B$17&lt;=CY$5)*(Отпуска!$D$5:$D$17&gt;=CY$5))&gt;0,"О","")</f>
        <v/>
      </c>
      <c r="CZ10" s="10" t="str">
        <f aca="false">IF(SUMPRODUCT((Отпуска!$A$5:$A$17=$A10)*(Отпуска!$B$5:$B$17&lt;=CZ$5)*(Отпуска!$D$5:$D$17&gt;=CZ$5))&gt;0,"О","")</f>
        <v/>
      </c>
      <c r="DA10" s="10" t="str">
        <f aca="false">IF(SUMPRODUCT((Отпуска!$A$5:$A$17=$A10)*(Отпуска!$B$5:$B$17&lt;=DA$5)*(Отпуска!$D$5:$D$17&gt;=DA$5))&gt;0,"О","")</f>
        <v/>
      </c>
      <c r="DB10" s="10" t="str">
        <f aca="false">IF(SUMPRODUCT((Отпуска!$A$5:$A$17=$A10)*(Отпуска!$B$5:$B$17&lt;=DB$5)*(Отпуска!$D$5:$D$17&gt;=DB$5))&gt;0,"О","")</f>
        <v/>
      </c>
      <c r="DC10" s="10" t="str">
        <f aca="false">IF(SUMPRODUCT((Отпуска!$A$5:$A$17=$A10)*(Отпуска!$B$5:$B$17&lt;=DC$5)*(Отпуска!$D$5:$D$17&gt;=DC$5))&gt;0,"О","")</f>
        <v/>
      </c>
      <c r="DD10" s="10" t="str">
        <f aca="false">IF(SUMPRODUCT((Отпуска!$A$5:$A$17=$A10)*(Отпуска!$B$5:$B$17&lt;=DD$5)*(Отпуска!$D$5:$D$17&gt;=DD$5))&gt;0,"О","")</f>
        <v/>
      </c>
      <c r="DE10" s="10" t="str">
        <f aca="false">IF(SUMPRODUCT((Отпуска!$A$5:$A$17=$A10)*(Отпуска!$B$5:$B$17&lt;=DE$5)*(Отпуска!$D$5:$D$17&gt;=DE$5))&gt;0,"О","")</f>
        <v/>
      </c>
      <c r="DF10" s="10" t="str">
        <f aca="false">IF(SUMPRODUCT((Отпуска!$A$5:$A$17=$A10)*(Отпуска!$B$5:$B$17&lt;=DF$5)*(Отпуска!$D$5:$D$17&gt;=DF$5))&gt;0,"О","")</f>
        <v/>
      </c>
      <c r="DG10" s="10" t="str">
        <f aca="false">IF(SUMPRODUCT((Отпуска!$A$5:$A$17=$A10)*(Отпуска!$B$5:$B$17&lt;=DG$5)*(Отпуска!$D$5:$D$17&gt;=DG$5))&gt;0,"О","")</f>
        <v/>
      </c>
      <c r="DH10" s="10" t="str">
        <f aca="false">IF(SUMPRODUCT((Отпуска!$A$5:$A$17=$A10)*(Отпуска!$B$5:$B$17&lt;=DH$5)*(Отпуска!$D$5:$D$17&gt;=DH$5))&gt;0,"О","")</f>
        <v/>
      </c>
      <c r="DI10" s="10" t="str">
        <f aca="false">IF(SUMPRODUCT((Отпуска!$A$5:$A$17=$A10)*(Отпуска!$B$5:$B$17&lt;=DI$5)*(Отпуска!$D$5:$D$17&gt;=DI$5))&gt;0,"О","")</f>
        <v/>
      </c>
      <c r="DJ10" s="10" t="str">
        <f aca="false">IF(SUMPRODUCT((Отпуска!$A$5:$A$17=$A10)*(Отпуска!$B$5:$B$17&lt;=DJ$5)*(Отпуска!$D$5:$D$17&gt;=DJ$5))&gt;0,"О","")</f>
        <v/>
      </c>
      <c r="DK10" s="10" t="str">
        <f aca="false">IF(SUMPRODUCT((Отпуска!$A$5:$A$17=$A10)*(Отпуска!$B$5:$B$17&lt;=DK$5)*(Отпуска!$D$5:$D$17&gt;=DK$5))&gt;0,"О","")</f>
        <v/>
      </c>
      <c r="DL10" s="10" t="str">
        <f aca="false">IF(SUMPRODUCT((Отпуска!$A$5:$A$17=$A10)*(Отпуска!$B$5:$B$17&lt;=DL$5)*(Отпуска!$D$5:$D$17&gt;=DL$5))&gt;0,"О","")</f>
        <v/>
      </c>
      <c r="DM10" s="10" t="str">
        <f aca="false">IF(SUMPRODUCT((Отпуска!$A$5:$A$17=$A10)*(Отпуска!$B$5:$B$17&lt;=DM$5)*(Отпуска!$D$5:$D$17&gt;=DM$5))&gt;0,"О","")</f>
        <v/>
      </c>
      <c r="DN10" s="10" t="str">
        <f aca="false">IF(SUMPRODUCT((Отпуска!$A$5:$A$17=$A10)*(Отпуска!$B$5:$B$17&lt;=DN$5)*(Отпуска!$D$5:$D$17&gt;=DN$5))&gt;0,"О","")</f>
        <v/>
      </c>
      <c r="DO10" s="10" t="str">
        <f aca="false">IF(SUMPRODUCT((Отпуска!$A$5:$A$17=$A10)*(Отпуска!$B$5:$B$17&lt;=DO$5)*(Отпуска!$D$5:$D$17&gt;=DO$5))&gt;0,"О","")</f>
        <v/>
      </c>
      <c r="DP10" s="10" t="str">
        <f aca="false">IF(SUMPRODUCT((Отпуска!$A$5:$A$17=$A10)*(Отпуска!$B$5:$B$17&lt;=DP$5)*(Отпуска!$D$5:$D$17&gt;=DP$5))&gt;0,"О","")</f>
        <v/>
      </c>
      <c r="DQ10" s="10" t="str">
        <f aca="false">IF(SUMPRODUCT((Отпуска!$A$5:$A$17=$A10)*(Отпуска!$B$5:$B$17&lt;=DQ$5)*(Отпуска!$D$5:$D$17&gt;=DQ$5))&gt;0,"О","")</f>
        <v/>
      </c>
      <c r="DR10" s="10" t="str">
        <f aca="false">IF(SUMPRODUCT((Отпуска!$A$5:$A$17=$A10)*(Отпуска!$B$5:$B$17&lt;=DR$5)*(Отпуска!$D$5:$D$17&gt;=DR$5))&gt;0,"О","")</f>
        <v/>
      </c>
      <c r="DS10" s="10" t="str">
        <f aca="false">IF(SUMPRODUCT((Отпуска!$A$5:$A$17=$A10)*(Отпуска!$B$5:$B$17&lt;=DS$5)*(Отпуска!$D$5:$D$17&gt;=DS$5))&gt;0,"О","")</f>
        <v/>
      </c>
      <c r="DT10" s="10" t="str">
        <f aca="false">IF(SUMPRODUCT((Отпуска!$A$5:$A$17=$A10)*(Отпуска!$B$5:$B$17&lt;=DT$5)*(Отпуска!$D$5:$D$17&gt;=DT$5))&gt;0,"О","")</f>
        <v/>
      </c>
      <c r="DU10" s="10" t="str">
        <f aca="false">IF(SUMPRODUCT((Отпуска!$A$5:$A$17=$A10)*(Отпуска!$B$5:$B$17&lt;=DU$5)*(Отпуска!$D$5:$D$17&gt;=DU$5))&gt;0,"О","")</f>
        <v/>
      </c>
      <c r="DV10" s="10" t="str">
        <f aca="false">IF(SUMPRODUCT((Отпуска!$A$5:$A$17=$A10)*(Отпуска!$B$5:$B$17&lt;=DV$5)*(Отпуска!$D$5:$D$17&gt;=DV$5))&gt;0,"О","")</f>
        <v/>
      </c>
      <c r="DW10" s="10" t="str">
        <f aca="false">IF(SUMPRODUCT((Отпуска!$A$5:$A$17=$A10)*(Отпуска!$B$5:$B$17&lt;=DW$5)*(Отпуска!$D$5:$D$17&gt;=DW$5))&gt;0,"О","")</f>
        <v/>
      </c>
      <c r="DX10" s="10" t="str">
        <f aca="false">IF(SUMPRODUCT((Отпуска!$A$5:$A$17=$A10)*(Отпуска!$B$5:$B$17&lt;=DX$5)*(Отпуска!$D$5:$D$17&gt;=DX$5))&gt;0,"О","")</f>
        <v/>
      </c>
      <c r="DY10" s="10" t="str">
        <f aca="false">IF(SUMPRODUCT((Отпуска!$A$5:$A$17=$A10)*(Отпуска!$B$5:$B$17&lt;=DY$5)*(Отпуска!$D$5:$D$17&gt;=DY$5))&gt;0,"О","")</f>
        <v/>
      </c>
      <c r="DZ10" s="10" t="str">
        <f aca="false">IF(SUMPRODUCT((Отпуска!$A$5:$A$17=$A10)*(Отпуска!$B$5:$B$17&lt;=DZ$5)*(Отпуска!$D$5:$D$17&gt;=DZ$5))&gt;0,"О","")</f>
        <v/>
      </c>
      <c r="EA10" s="10" t="str">
        <f aca="false">IF(SUMPRODUCT((Отпуска!$A$5:$A$17=$A10)*(Отпуска!$B$5:$B$17&lt;=EA$5)*(Отпуска!$D$5:$D$17&gt;=EA$5))&gt;0,"О","")</f>
        <v/>
      </c>
      <c r="EB10" s="10" t="str">
        <f aca="false">IF(SUMPRODUCT((Отпуска!$A$5:$A$17=$A10)*(Отпуска!$B$5:$B$17&lt;=EB$5)*(Отпуска!$D$5:$D$17&gt;=EB$5))&gt;0,"О","")</f>
        <v/>
      </c>
      <c r="EC10" s="10" t="str">
        <f aca="false">IF(SUMPRODUCT((Отпуска!$A$5:$A$17=$A10)*(Отпуска!$B$5:$B$17&lt;=EC$5)*(Отпуска!$D$5:$D$17&gt;=EC$5))&gt;0,"О","")</f>
        <v/>
      </c>
      <c r="ED10" s="10" t="str">
        <f aca="false">IF(SUMPRODUCT((Отпуска!$A$5:$A$17=$A10)*(Отпуска!$B$5:$B$17&lt;=ED$5)*(Отпуска!$D$5:$D$17&gt;=ED$5))&gt;0,"О","")</f>
        <v/>
      </c>
      <c r="EE10" s="10" t="str">
        <f aca="false">IF(SUMPRODUCT((Отпуска!$A$5:$A$17=$A10)*(Отпуска!$B$5:$B$17&lt;=EE$5)*(Отпуска!$D$5:$D$17&gt;=EE$5))&gt;0,"О","")</f>
        <v/>
      </c>
      <c r="EF10" s="10" t="str">
        <f aca="false">IF(SUMPRODUCT((Отпуска!$A$5:$A$17=$A10)*(Отпуска!$B$5:$B$17&lt;=EF$5)*(Отпуска!$D$5:$D$17&gt;=EF$5))&gt;0,"О","")</f>
        <v/>
      </c>
      <c r="EG10" s="10" t="str">
        <f aca="false">IF(SUMPRODUCT((Отпуска!$A$5:$A$17=$A10)*(Отпуска!$B$5:$B$17&lt;=EG$5)*(Отпуска!$D$5:$D$17&gt;=EG$5))&gt;0,"О","")</f>
        <v/>
      </c>
      <c r="EH10" s="10" t="str">
        <f aca="false">IF(SUMPRODUCT((Отпуска!$A$5:$A$17=$A10)*(Отпуска!$B$5:$B$17&lt;=EH$5)*(Отпуска!$D$5:$D$17&gt;=EH$5))&gt;0,"О","")</f>
        <v/>
      </c>
      <c r="EI10" s="10" t="str">
        <f aca="false">IF(SUMPRODUCT((Отпуска!$A$5:$A$17=$A10)*(Отпуска!$B$5:$B$17&lt;=EI$5)*(Отпуска!$D$5:$D$17&gt;=EI$5))&gt;0,"О","")</f>
        <v/>
      </c>
      <c r="EJ10" s="10" t="str">
        <f aca="false">IF(SUMPRODUCT((Отпуска!$A$5:$A$17=$A10)*(Отпуска!$B$5:$B$17&lt;=EJ$5)*(Отпуска!$D$5:$D$17&gt;=EJ$5))&gt;0,"О","")</f>
        <v/>
      </c>
      <c r="EK10" s="10" t="str">
        <f aca="false">IF(SUMPRODUCT((Отпуска!$A$5:$A$17=$A10)*(Отпуска!$B$5:$B$17&lt;=EK$5)*(Отпуска!$D$5:$D$17&gt;=EK$5))&gt;0,"О","")</f>
        <v/>
      </c>
      <c r="EL10" s="10" t="str">
        <f aca="false">IF(SUMPRODUCT((Отпуска!$A$5:$A$17=$A10)*(Отпуска!$B$5:$B$17&lt;=EL$5)*(Отпуска!$D$5:$D$17&gt;=EL$5))&gt;0,"О","")</f>
        <v/>
      </c>
      <c r="EM10" s="10" t="str">
        <f aca="false">IF(SUMPRODUCT((Отпуска!$A$5:$A$17=$A10)*(Отпуска!$B$5:$B$17&lt;=EM$5)*(Отпуска!$D$5:$D$17&gt;=EM$5))&gt;0,"О","")</f>
        <v/>
      </c>
      <c r="EN10" s="10" t="str">
        <f aca="false">IF(SUMPRODUCT((Отпуска!$A$5:$A$17=$A10)*(Отпуска!$B$5:$B$17&lt;=EN$5)*(Отпуска!$D$5:$D$17&gt;=EN$5))&gt;0,"О","")</f>
        <v/>
      </c>
      <c r="EO10" s="10" t="str">
        <f aca="false">IF(SUMPRODUCT((Отпуска!$A$5:$A$17=$A10)*(Отпуска!$B$5:$B$17&lt;=EO$5)*(Отпуска!$D$5:$D$17&gt;=EO$5))&gt;0,"О","")</f>
        <v/>
      </c>
      <c r="EP10" s="10" t="str">
        <f aca="false">IF(SUMPRODUCT((Отпуска!$A$5:$A$17=$A10)*(Отпуска!$B$5:$B$17&lt;=EP$5)*(Отпуска!$D$5:$D$17&gt;=EP$5))&gt;0,"О","")</f>
        <v/>
      </c>
      <c r="EQ10" s="10" t="str">
        <f aca="false">IF(SUMPRODUCT((Отпуска!$A$5:$A$17=$A10)*(Отпуска!$B$5:$B$17&lt;=EQ$5)*(Отпуска!$D$5:$D$17&gt;=EQ$5))&gt;0,"О","")</f>
        <v/>
      </c>
      <c r="ER10" s="10" t="str">
        <f aca="false">IF(SUMPRODUCT((Отпуска!$A$5:$A$17=$A10)*(Отпуска!$B$5:$B$17&lt;=ER$5)*(Отпуска!$D$5:$D$17&gt;=ER$5))&gt;0,"О","")</f>
        <v/>
      </c>
      <c r="ES10" s="10" t="str">
        <f aca="false">IF(SUMPRODUCT((Отпуска!$A$5:$A$17=$A10)*(Отпуска!$B$5:$B$17&lt;=ES$5)*(Отпуска!$D$5:$D$17&gt;=ES$5))&gt;0,"О","")</f>
        <v/>
      </c>
      <c r="ET10" s="10" t="str">
        <f aca="false">IF(SUMPRODUCT((Отпуска!$A$5:$A$17=$A10)*(Отпуска!$B$5:$B$17&lt;=ET$5)*(Отпуска!$D$5:$D$17&gt;=ET$5))&gt;0,"О","")</f>
        <v/>
      </c>
      <c r="EU10" s="10" t="str">
        <f aca="false">IF(SUMPRODUCT((Отпуска!$A$5:$A$17=$A10)*(Отпуска!$B$5:$B$17&lt;=EU$5)*(Отпуска!$D$5:$D$17&gt;=EU$5))&gt;0,"О","")</f>
        <v/>
      </c>
      <c r="EV10" s="10" t="str">
        <f aca="false">IF(SUMPRODUCT((Отпуска!$A$5:$A$17=$A10)*(Отпуска!$B$5:$B$17&lt;=EV$5)*(Отпуска!$D$5:$D$17&gt;=EV$5))&gt;0,"О","")</f>
        <v/>
      </c>
      <c r="EW10" s="10" t="str">
        <f aca="false">IF(SUMPRODUCT((Отпуска!$A$5:$A$17=$A10)*(Отпуска!$B$5:$B$17&lt;=EW$5)*(Отпуска!$D$5:$D$17&gt;=EW$5))&gt;0,"О","")</f>
        <v/>
      </c>
      <c r="EX10" s="10" t="str">
        <f aca="false">IF(SUMPRODUCT((Отпуска!$A$5:$A$17=$A10)*(Отпуска!$B$5:$B$17&lt;=EX$5)*(Отпуска!$D$5:$D$17&gt;=EX$5))&gt;0,"О","")</f>
        <v/>
      </c>
      <c r="EY10" s="10" t="str">
        <f aca="false">IF(SUMPRODUCT((Отпуска!$A$5:$A$17=$A10)*(Отпуска!$B$5:$B$17&lt;=EY$5)*(Отпуска!$D$5:$D$17&gt;=EY$5))&gt;0,"О","")</f>
        <v/>
      </c>
      <c r="EZ10" s="10" t="str">
        <f aca="false">IF(SUMPRODUCT((Отпуска!$A$5:$A$17=$A10)*(Отпуска!$B$5:$B$17&lt;=EZ$5)*(Отпуска!$D$5:$D$17&gt;=EZ$5))&gt;0,"О","")</f>
        <v/>
      </c>
      <c r="FA10" s="10" t="str">
        <f aca="false">IF(SUMPRODUCT((Отпуска!$A$5:$A$17=$A10)*(Отпуска!$B$5:$B$17&lt;=FA$5)*(Отпуска!$D$5:$D$17&gt;=FA$5))&gt;0,"О","")</f>
        <v/>
      </c>
      <c r="FB10" s="10" t="str">
        <f aca="false">IF(SUMPRODUCT((Отпуска!$A$5:$A$17=$A10)*(Отпуска!$B$5:$B$17&lt;=FB$5)*(Отпуска!$D$5:$D$17&gt;=FB$5))&gt;0,"О","")</f>
        <v/>
      </c>
      <c r="FC10" s="10" t="str">
        <f aca="false">IF(SUMPRODUCT((Отпуска!$A$5:$A$17=$A10)*(Отпуска!$B$5:$B$17&lt;=FC$5)*(Отпуска!$D$5:$D$17&gt;=FC$5))&gt;0,"О","")</f>
        <v/>
      </c>
      <c r="FD10" s="10" t="str">
        <f aca="false">IF(SUMPRODUCT((Отпуска!$A$5:$A$17=$A10)*(Отпуска!$B$5:$B$17&lt;=FD$5)*(Отпуска!$D$5:$D$17&gt;=FD$5))&gt;0,"О","")</f>
        <v/>
      </c>
      <c r="FE10" s="10" t="str">
        <f aca="false">IF(SUMPRODUCT((Отпуска!$A$5:$A$17=$A10)*(Отпуска!$B$5:$B$17&lt;=FE$5)*(Отпуска!$D$5:$D$17&gt;=FE$5))&gt;0,"О","")</f>
        <v/>
      </c>
      <c r="FF10" s="10" t="str">
        <f aca="false">IF(SUMPRODUCT((Отпуска!$A$5:$A$17=$A10)*(Отпуска!$B$5:$B$17&lt;=FF$5)*(Отпуска!$D$5:$D$17&gt;=FF$5))&gt;0,"О","")</f>
        <v/>
      </c>
      <c r="FG10" s="10" t="str">
        <f aca="false">IF(SUMPRODUCT((Отпуска!$A$5:$A$17=$A10)*(Отпуска!$B$5:$B$17&lt;=FG$5)*(Отпуска!$D$5:$D$17&gt;=FG$5))&gt;0,"О","")</f>
        <v/>
      </c>
      <c r="FH10" s="10" t="str">
        <f aca="false">IF(SUMPRODUCT((Отпуска!$A$5:$A$17=$A10)*(Отпуска!$B$5:$B$17&lt;=FH$5)*(Отпуска!$D$5:$D$17&gt;=FH$5))&gt;0,"О","")</f>
        <v/>
      </c>
      <c r="FI10" s="10" t="str">
        <f aca="false">IF(SUMPRODUCT((Отпуска!$A$5:$A$17=$A10)*(Отпуска!$B$5:$B$17&lt;=FI$5)*(Отпуска!$D$5:$D$17&gt;=FI$5))&gt;0,"О","")</f>
        <v/>
      </c>
      <c r="FJ10" s="10" t="str">
        <f aca="false">IF(SUMPRODUCT((Отпуска!$A$5:$A$17=$A10)*(Отпуска!$B$5:$B$17&lt;=FJ$5)*(Отпуска!$D$5:$D$17&gt;=FJ$5))&gt;0,"О","")</f>
        <v/>
      </c>
      <c r="FK10" s="10" t="str">
        <f aca="false">IF(SUMPRODUCT((Отпуска!$A$5:$A$17=$A10)*(Отпуска!$B$5:$B$17&lt;=FK$5)*(Отпуска!$D$5:$D$17&gt;=FK$5))&gt;0,"О","")</f>
        <v/>
      </c>
      <c r="FL10" s="10" t="str">
        <f aca="false">IF(SUMPRODUCT((Отпуска!$A$5:$A$17=$A10)*(Отпуска!$B$5:$B$17&lt;=FL$5)*(Отпуска!$D$5:$D$17&gt;=FL$5))&gt;0,"О","")</f>
        <v/>
      </c>
      <c r="FM10" s="10" t="str">
        <f aca="false">IF(SUMPRODUCT((Отпуска!$A$5:$A$17=$A10)*(Отпуска!$B$5:$B$17&lt;=FM$5)*(Отпуска!$D$5:$D$17&gt;=FM$5))&gt;0,"О","")</f>
        <v>О</v>
      </c>
      <c r="FN10" s="10" t="str">
        <f aca="false">IF(SUMPRODUCT((Отпуска!$A$5:$A$17=$A10)*(Отпуска!$B$5:$B$17&lt;=FN$5)*(Отпуска!$D$5:$D$17&gt;=FN$5))&gt;0,"О","")</f>
        <v>О</v>
      </c>
      <c r="FO10" s="10" t="str">
        <f aca="false">IF(SUMPRODUCT((Отпуска!$A$5:$A$17=$A10)*(Отпуска!$B$5:$B$17&lt;=FO$5)*(Отпуска!$D$5:$D$17&gt;=FO$5))&gt;0,"О","")</f>
        <v>О</v>
      </c>
      <c r="FP10" s="10" t="str">
        <f aca="false">IF(SUMPRODUCT((Отпуска!$A$5:$A$17=$A10)*(Отпуска!$B$5:$B$17&lt;=FP$5)*(Отпуска!$D$5:$D$17&gt;=FP$5))&gt;0,"О","")</f>
        <v>О</v>
      </c>
      <c r="FQ10" s="10" t="str">
        <f aca="false">IF(SUMPRODUCT((Отпуска!$A$5:$A$17=$A10)*(Отпуска!$B$5:$B$17&lt;=FQ$5)*(Отпуска!$D$5:$D$17&gt;=FQ$5))&gt;0,"О","")</f>
        <v>О</v>
      </c>
      <c r="FR10" s="10" t="str">
        <f aca="false">IF(SUMPRODUCT((Отпуска!$A$5:$A$17=$A10)*(Отпуска!$B$5:$B$17&lt;=FR$5)*(Отпуска!$D$5:$D$17&gt;=FR$5))&gt;0,"О","")</f>
        <v>О</v>
      </c>
      <c r="FS10" s="10" t="str">
        <f aca="false">IF(SUMPRODUCT((Отпуска!$A$5:$A$17=$A10)*(Отпуска!$B$5:$B$17&lt;=FS$5)*(Отпуска!$D$5:$D$17&gt;=FS$5))&gt;0,"О","")</f>
        <v>О</v>
      </c>
      <c r="FT10" s="10" t="str">
        <f aca="false">IF(SUMPRODUCT((Отпуска!$A$5:$A$17=$A10)*(Отпуска!$B$5:$B$17&lt;=FT$5)*(Отпуска!$D$5:$D$17&gt;=FT$5))&gt;0,"О","")</f>
        <v>О</v>
      </c>
      <c r="FU10" s="10" t="str">
        <f aca="false">IF(SUMPRODUCT((Отпуска!$A$5:$A$17=$A10)*(Отпуска!$B$5:$B$17&lt;=FU$5)*(Отпуска!$D$5:$D$17&gt;=FU$5))&gt;0,"О","")</f>
        <v>О</v>
      </c>
      <c r="FV10" s="10" t="str">
        <f aca="false">IF(SUMPRODUCT((Отпуска!$A$5:$A$17=$A10)*(Отпуска!$B$5:$B$17&lt;=FV$5)*(Отпуска!$D$5:$D$17&gt;=FV$5))&gt;0,"О","")</f>
        <v>О</v>
      </c>
      <c r="FW10" s="10" t="str">
        <f aca="false">IF(SUMPRODUCT((Отпуска!$A$5:$A$17=$A10)*(Отпуска!$B$5:$B$17&lt;=FW$5)*(Отпуска!$D$5:$D$17&gt;=FW$5))&gt;0,"О","")</f>
        <v>О</v>
      </c>
      <c r="FX10" s="10" t="str">
        <f aca="false">IF(SUMPRODUCT((Отпуска!$A$5:$A$17=$A10)*(Отпуска!$B$5:$B$17&lt;=FX$5)*(Отпуска!$D$5:$D$17&gt;=FX$5))&gt;0,"О","")</f>
        <v>О</v>
      </c>
      <c r="FY10" s="10" t="str">
        <f aca="false">IF(SUMPRODUCT((Отпуска!$A$5:$A$17=$A10)*(Отпуска!$B$5:$B$17&lt;=FY$5)*(Отпуска!$D$5:$D$17&gt;=FY$5))&gt;0,"О","")</f>
        <v>О</v>
      </c>
      <c r="FZ10" s="10" t="str">
        <f aca="false">IF(SUMPRODUCT((Отпуска!$A$5:$A$17=$A10)*(Отпуска!$B$5:$B$17&lt;=FZ$5)*(Отпуска!$D$5:$D$17&gt;=FZ$5))&gt;0,"О","")</f>
        <v>О</v>
      </c>
      <c r="GA10" s="10" t="str">
        <f aca="false">IF(SUMPRODUCT((Отпуска!$A$5:$A$17=$A10)*(Отпуска!$B$5:$B$17&lt;=GA$5)*(Отпуска!$D$5:$D$17&gt;=GA$5))&gt;0,"О","")</f>
        <v>О</v>
      </c>
      <c r="GB10" s="10" t="str">
        <f aca="false">IF(SUMPRODUCT((Отпуска!$A$5:$A$17=$A10)*(Отпуска!$B$5:$B$17&lt;=GB$5)*(Отпуска!$D$5:$D$17&gt;=GB$5))&gt;0,"О","")</f>
        <v>О</v>
      </c>
      <c r="GC10" s="10" t="str">
        <f aca="false">IF(SUMPRODUCT((Отпуска!$A$5:$A$17=$A10)*(Отпуска!$B$5:$B$17&lt;=GC$5)*(Отпуска!$D$5:$D$17&gt;=GC$5))&gt;0,"О","")</f>
        <v>О</v>
      </c>
      <c r="GD10" s="10" t="str">
        <f aca="false">IF(SUMPRODUCT((Отпуска!$A$5:$A$17=$A10)*(Отпуска!$B$5:$B$17&lt;=GD$5)*(Отпуска!$D$5:$D$17&gt;=GD$5))&gt;0,"О","")</f>
        <v>О</v>
      </c>
      <c r="GE10" s="10" t="str">
        <f aca="false">IF(SUMPRODUCT((Отпуска!$A$5:$A$17=$A10)*(Отпуска!$B$5:$B$17&lt;=GE$5)*(Отпуска!$D$5:$D$17&gt;=GE$5))&gt;0,"О","")</f>
        <v>О</v>
      </c>
      <c r="GF10" s="10" t="str">
        <f aca="false">IF(SUMPRODUCT((Отпуска!$A$5:$A$17=$A10)*(Отпуска!$B$5:$B$17&lt;=GF$5)*(Отпуска!$D$5:$D$17&gt;=GF$5))&gt;0,"О","")</f>
        <v>О</v>
      </c>
      <c r="GG10" s="10" t="str">
        <f aca="false">IF(SUMPRODUCT((Отпуска!$A$5:$A$17=$A10)*(Отпуска!$B$5:$B$17&lt;=GG$5)*(Отпуска!$D$5:$D$17&gt;=GG$5))&gt;0,"О","")</f>
        <v>О</v>
      </c>
      <c r="GH10" s="10" t="str">
        <f aca="false">IF(SUMPRODUCT((Отпуска!$A$5:$A$17=$A10)*(Отпуска!$B$5:$B$17&lt;=GH$5)*(Отпуска!$D$5:$D$17&gt;=GH$5))&gt;0,"О","")</f>
        <v>О</v>
      </c>
      <c r="GI10" s="10" t="str">
        <f aca="false">IF(SUMPRODUCT((Отпуска!$A$5:$A$17=$A10)*(Отпуска!$B$5:$B$17&lt;=GI$5)*(Отпуска!$D$5:$D$17&gt;=GI$5))&gt;0,"О","")</f>
        <v>О</v>
      </c>
      <c r="GJ10" s="10" t="str">
        <f aca="false">IF(SUMPRODUCT((Отпуска!$A$5:$A$17=$A10)*(Отпуска!$B$5:$B$17&lt;=GJ$5)*(Отпуска!$D$5:$D$17&gt;=GJ$5))&gt;0,"О","")</f>
        <v>О</v>
      </c>
      <c r="GK10" s="10" t="str">
        <f aca="false">IF(SUMPRODUCT((Отпуска!$A$5:$A$17=$A10)*(Отпуска!$B$5:$B$17&lt;=GK$5)*(Отпуска!$D$5:$D$17&gt;=GK$5))&gt;0,"О","")</f>
        <v>О</v>
      </c>
      <c r="GL10" s="10" t="str">
        <f aca="false">IF(SUMPRODUCT((Отпуска!$A$5:$A$17=$A10)*(Отпуска!$B$5:$B$17&lt;=GL$5)*(Отпуска!$D$5:$D$17&gt;=GL$5))&gt;0,"О","")</f>
        <v>О</v>
      </c>
      <c r="GM10" s="10" t="str">
        <f aca="false">IF(SUMPRODUCT((Отпуска!$A$5:$A$17=$A10)*(Отпуска!$B$5:$B$17&lt;=GM$5)*(Отпуска!$D$5:$D$17&gt;=GM$5))&gt;0,"О","")</f>
        <v>О</v>
      </c>
      <c r="GN10" s="10" t="str">
        <f aca="false">IF(SUMPRODUCT((Отпуска!$A$5:$A$17=$A10)*(Отпуска!$B$5:$B$17&lt;=GN$5)*(Отпуска!$D$5:$D$17&gt;=GN$5))&gt;0,"О","")</f>
        <v>О</v>
      </c>
      <c r="GO10" s="10" t="str">
        <f aca="false">IF(SUMPRODUCT((Отпуска!$A$5:$A$17=$A10)*(Отпуска!$B$5:$B$17&lt;=GO$5)*(Отпуска!$D$5:$D$17&gt;=GO$5))&gt;0,"О","")</f>
        <v>О</v>
      </c>
      <c r="GP10" s="10" t="str">
        <f aca="false">IF(SUMPRODUCT((Отпуска!$A$5:$A$17=$A10)*(Отпуска!$B$5:$B$17&lt;=GP$5)*(Отпуска!$D$5:$D$17&gt;=GP$5))&gt;0,"О","")</f>
        <v/>
      </c>
      <c r="GQ10" s="10" t="str">
        <f aca="false">IF(SUMPRODUCT((Отпуска!$A$5:$A$17=$A10)*(Отпуска!$B$5:$B$17&lt;=GQ$5)*(Отпуска!$D$5:$D$17&gt;=GQ$5))&gt;0,"О","")</f>
        <v/>
      </c>
      <c r="GR10" s="10" t="str">
        <f aca="false">IF(SUMPRODUCT((Отпуска!$A$5:$A$17=$A10)*(Отпуска!$B$5:$B$17&lt;=GR$5)*(Отпуска!$D$5:$D$17&gt;=GR$5))&gt;0,"О","")</f>
        <v/>
      </c>
      <c r="GS10" s="10" t="str">
        <f aca="false">IF(SUMPRODUCT((Отпуска!$A$5:$A$17=$A10)*(Отпуска!$B$5:$B$17&lt;=GS$5)*(Отпуска!$D$5:$D$17&gt;=GS$5))&gt;0,"О","")</f>
        <v/>
      </c>
      <c r="GT10" s="10" t="str">
        <f aca="false">IF(SUMPRODUCT((Отпуска!$A$5:$A$17=$A10)*(Отпуска!$B$5:$B$17&lt;=GT$5)*(Отпуска!$D$5:$D$17&gt;=GT$5))&gt;0,"О","")</f>
        <v/>
      </c>
      <c r="GU10" s="10" t="str">
        <f aca="false">IF(SUMPRODUCT((Отпуска!$A$5:$A$17=$A10)*(Отпуска!$B$5:$B$17&lt;=GU$5)*(Отпуска!$D$5:$D$17&gt;=GU$5))&gt;0,"О","")</f>
        <v/>
      </c>
      <c r="GV10" s="10" t="str">
        <f aca="false">IF(SUMPRODUCT((Отпуска!$A$5:$A$17=$A10)*(Отпуска!$B$5:$B$17&lt;=GV$5)*(Отпуска!$D$5:$D$17&gt;=GV$5))&gt;0,"О","")</f>
        <v/>
      </c>
      <c r="GW10" s="10" t="str">
        <f aca="false">IF(SUMPRODUCT((Отпуска!$A$5:$A$17=$A10)*(Отпуска!$B$5:$B$17&lt;=GW$5)*(Отпуска!$D$5:$D$17&gt;=GW$5))&gt;0,"О","")</f>
        <v/>
      </c>
      <c r="GX10" s="10" t="str">
        <f aca="false">IF(SUMPRODUCT((Отпуска!$A$5:$A$17=$A10)*(Отпуска!$B$5:$B$17&lt;=GX$5)*(Отпуска!$D$5:$D$17&gt;=GX$5))&gt;0,"О","")</f>
        <v/>
      </c>
      <c r="GY10" s="10" t="str">
        <f aca="false">IF(SUMPRODUCT((Отпуска!$A$5:$A$17=$A10)*(Отпуска!$B$5:$B$17&lt;=GY$5)*(Отпуска!$D$5:$D$17&gt;=GY$5))&gt;0,"О","")</f>
        <v/>
      </c>
      <c r="GZ10" s="10" t="str">
        <f aca="false">IF(SUMPRODUCT((Отпуска!$A$5:$A$17=$A10)*(Отпуска!$B$5:$B$17&lt;=GZ$5)*(Отпуска!$D$5:$D$17&gt;=GZ$5))&gt;0,"О","")</f>
        <v/>
      </c>
      <c r="HA10" s="10" t="str">
        <f aca="false">IF(SUMPRODUCT((Отпуска!$A$5:$A$17=$A10)*(Отпуска!$B$5:$B$17&lt;=HA$5)*(Отпуска!$D$5:$D$17&gt;=HA$5))&gt;0,"О","")</f>
        <v/>
      </c>
      <c r="HB10" s="10" t="str">
        <f aca="false">IF(SUMPRODUCT((Отпуска!$A$5:$A$17=$A10)*(Отпуска!$B$5:$B$17&lt;=HB$5)*(Отпуска!$D$5:$D$17&gt;=HB$5))&gt;0,"О","")</f>
        <v/>
      </c>
      <c r="HC10" s="10" t="str">
        <f aca="false">IF(SUMPRODUCT((Отпуска!$A$5:$A$17=$A10)*(Отпуска!$B$5:$B$17&lt;=HC$5)*(Отпуска!$D$5:$D$17&gt;=HC$5))&gt;0,"О","")</f>
        <v/>
      </c>
      <c r="HD10" s="10" t="str">
        <f aca="false">IF(SUMPRODUCT((Отпуска!$A$5:$A$17=$A10)*(Отпуска!$B$5:$B$17&lt;=HD$5)*(Отпуска!$D$5:$D$17&gt;=HD$5))&gt;0,"О","")</f>
        <v/>
      </c>
      <c r="HE10" s="10" t="str">
        <f aca="false">IF(SUMPRODUCT((Отпуска!$A$5:$A$17=$A10)*(Отпуска!$B$5:$B$17&lt;=HE$5)*(Отпуска!$D$5:$D$17&gt;=HE$5))&gt;0,"О","")</f>
        <v/>
      </c>
      <c r="HF10" s="10" t="str">
        <f aca="false">IF(SUMPRODUCT((Отпуска!$A$5:$A$17=$A10)*(Отпуска!$B$5:$B$17&lt;=HF$5)*(Отпуска!$D$5:$D$17&gt;=HF$5))&gt;0,"О","")</f>
        <v/>
      </c>
      <c r="HG10" s="10" t="str">
        <f aca="false">IF(SUMPRODUCT((Отпуска!$A$5:$A$17=$A10)*(Отпуска!$B$5:$B$17&lt;=HG$5)*(Отпуска!$D$5:$D$17&gt;=HG$5))&gt;0,"О","")</f>
        <v/>
      </c>
      <c r="HH10" s="10" t="str">
        <f aca="false">IF(SUMPRODUCT((Отпуска!$A$5:$A$17=$A10)*(Отпуска!$B$5:$B$17&lt;=HH$5)*(Отпуска!$D$5:$D$17&gt;=HH$5))&gt;0,"О","")</f>
        <v/>
      </c>
      <c r="HI10" s="10" t="str">
        <f aca="false">IF(SUMPRODUCT((Отпуска!$A$5:$A$17=$A10)*(Отпуска!$B$5:$B$17&lt;=HI$5)*(Отпуска!$D$5:$D$17&gt;=HI$5))&gt;0,"О","")</f>
        <v/>
      </c>
      <c r="HJ10" s="10" t="str">
        <f aca="false">IF(SUMPRODUCT((Отпуска!$A$5:$A$17=$A10)*(Отпуска!$B$5:$B$17&lt;=HJ$5)*(Отпуска!$D$5:$D$17&gt;=HJ$5))&gt;0,"О","")</f>
        <v/>
      </c>
      <c r="HK10" s="10" t="str">
        <f aca="false">IF(SUMPRODUCT((Отпуска!$A$5:$A$17=$A10)*(Отпуска!$B$5:$B$17&lt;=HK$5)*(Отпуска!$D$5:$D$17&gt;=HK$5))&gt;0,"О","")</f>
        <v/>
      </c>
      <c r="HL10" s="10" t="str">
        <f aca="false">IF(SUMPRODUCT((Отпуска!$A$5:$A$17=$A10)*(Отпуска!$B$5:$B$17&lt;=HL$5)*(Отпуска!$D$5:$D$17&gt;=HL$5))&gt;0,"О","")</f>
        <v/>
      </c>
      <c r="HM10" s="10" t="str">
        <f aca="false">IF(SUMPRODUCT((Отпуска!$A$5:$A$17=$A10)*(Отпуска!$B$5:$B$17&lt;=HM$5)*(Отпуска!$D$5:$D$17&gt;=HM$5))&gt;0,"О","")</f>
        <v/>
      </c>
      <c r="HN10" s="10" t="str">
        <f aca="false">IF(SUMPRODUCT((Отпуска!$A$5:$A$17=$A10)*(Отпуска!$B$5:$B$17&lt;=HN$5)*(Отпуска!$D$5:$D$17&gt;=HN$5))&gt;0,"О","")</f>
        <v/>
      </c>
      <c r="HO10" s="10" t="str">
        <f aca="false">IF(SUMPRODUCT((Отпуска!$A$5:$A$17=$A10)*(Отпуска!$B$5:$B$17&lt;=HO$5)*(Отпуска!$D$5:$D$17&gt;=HO$5))&gt;0,"О","")</f>
        <v/>
      </c>
      <c r="HP10" s="10" t="str">
        <f aca="false">IF(SUMPRODUCT((Отпуска!$A$5:$A$17=$A10)*(Отпуска!$B$5:$B$17&lt;=HP$5)*(Отпуска!$D$5:$D$17&gt;=HP$5))&gt;0,"О","")</f>
        <v/>
      </c>
      <c r="HQ10" s="10" t="str">
        <f aca="false">IF(SUMPRODUCT((Отпуска!$A$5:$A$17=$A10)*(Отпуска!$B$5:$B$17&lt;=HQ$5)*(Отпуска!$D$5:$D$17&gt;=HQ$5))&gt;0,"О","")</f>
        <v/>
      </c>
      <c r="HR10" s="10" t="str">
        <f aca="false">IF(SUMPRODUCT((Отпуска!$A$5:$A$17=$A10)*(Отпуска!$B$5:$B$17&lt;=HR$5)*(Отпуска!$D$5:$D$17&gt;=HR$5))&gt;0,"О","")</f>
        <v/>
      </c>
      <c r="HS10" s="10" t="str">
        <f aca="false">IF(SUMPRODUCT((Отпуска!$A$5:$A$17=$A10)*(Отпуска!$B$5:$B$17&lt;=HS$5)*(Отпуска!$D$5:$D$17&gt;=HS$5))&gt;0,"О","")</f>
        <v/>
      </c>
      <c r="HT10" s="10" t="str">
        <f aca="false">IF(SUMPRODUCT((Отпуска!$A$5:$A$17=$A10)*(Отпуска!$B$5:$B$17&lt;=HT$5)*(Отпуска!$D$5:$D$17&gt;=HT$5))&gt;0,"О","")</f>
        <v/>
      </c>
      <c r="HU10" s="10" t="str">
        <f aca="false">IF(SUMPRODUCT((Отпуска!$A$5:$A$17=$A10)*(Отпуска!$B$5:$B$17&lt;=HU$5)*(Отпуска!$D$5:$D$17&gt;=HU$5))&gt;0,"О","")</f>
        <v/>
      </c>
      <c r="HV10" s="10" t="str">
        <f aca="false">IF(SUMPRODUCT((Отпуска!$A$5:$A$17=$A10)*(Отпуска!$B$5:$B$17&lt;=HV$5)*(Отпуска!$D$5:$D$17&gt;=HV$5))&gt;0,"О","")</f>
        <v/>
      </c>
      <c r="HW10" s="10" t="str">
        <f aca="false">IF(SUMPRODUCT((Отпуска!$A$5:$A$17=$A10)*(Отпуска!$B$5:$B$17&lt;=HW$5)*(Отпуска!$D$5:$D$17&gt;=HW$5))&gt;0,"О","")</f>
        <v/>
      </c>
      <c r="HX10" s="10" t="str">
        <f aca="false">IF(SUMPRODUCT((Отпуска!$A$5:$A$17=$A10)*(Отпуска!$B$5:$B$17&lt;=HX$5)*(Отпуска!$D$5:$D$17&gt;=HX$5))&gt;0,"О","")</f>
        <v/>
      </c>
      <c r="HY10" s="10" t="str">
        <f aca="false">IF(SUMPRODUCT((Отпуска!$A$5:$A$17=$A10)*(Отпуска!$B$5:$B$17&lt;=HY$5)*(Отпуска!$D$5:$D$17&gt;=HY$5))&gt;0,"О","")</f>
        <v/>
      </c>
      <c r="HZ10" s="10" t="str">
        <f aca="false">IF(SUMPRODUCT((Отпуска!$A$5:$A$17=$A10)*(Отпуска!$B$5:$B$17&lt;=HZ$5)*(Отпуска!$D$5:$D$17&gt;=HZ$5))&gt;0,"О","")</f>
        <v/>
      </c>
      <c r="IA10" s="10" t="str">
        <f aca="false">IF(SUMPRODUCT((Отпуска!$A$5:$A$17=$A10)*(Отпуска!$B$5:$B$17&lt;=IA$5)*(Отпуска!$D$5:$D$17&gt;=IA$5))&gt;0,"О","")</f>
        <v/>
      </c>
      <c r="IB10" s="10" t="str">
        <f aca="false">IF(SUMPRODUCT((Отпуска!$A$5:$A$17=$A10)*(Отпуска!$B$5:$B$17&lt;=IB$5)*(Отпуска!$D$5:$D$17&gt;=IB$5))&gt;0,"О","")</f>
        <v/>
      </c>
      <c r="IC10" s="10" t="str">
        <f aca="false">IF(SUMPRODUCT((Отпуска!$A$5:$A$17=$A10)*(Отпуска!$B$5:$B$17&lt;=IC$5)*(Отпуска!$D$5:$D$17&gt;=IC$5))&gt;0,"О","")</f>
        <v/>
      </c>
      <c r="ID10" s="10" t="str">
        <f aca="false">IF(SUMPRODUCT((Отпуска!$A$5:$A$17=$A10)*(Отпуска!$B$5:$B$17&lt;=ID$5)*(Отпуска!$D$5:$D$17&gt;=ID$5))&gt;0,"О","")</f>
        <v/>
      </c>
      <c r="IE10" s="10" t="str">
        <f aca="false">IF(SUMPRODUCT((Отпуска!$A$5:$A$17=$A10)*(Отпуска!$B$5:$B$17&lt;=IE$5)*(Отпуска!$D$5:$D$17&gt;=IE$5))&gt;0,"О","")</f>
        <v/>
      </c>
      <c r="IF10" s="10" t="str">
        <f aca="false">IF(SUMPRODUCT((Отпуска!$A$5:$A$17=$A10)*(Отпуска!$B$5:$B$17&lt;=IF$5)*(Отпуска!$D$5:$D$17&gt;=IF$5))&gt;0,"О","")</f>
        <v/>
      </c>
      <c r="IG10" s="10" t="str">
        <f aca="false">IF(SUMPRODUCT((Отпуска!$A$5:$A$17=$A10)*(Отпуска!$B$5:$B$17&lt;=IG$5)*(Отпуска!$D$5:$D$17&gt;=IG$5))&gt;0,"О","")</f>
        <v/>
      </c>
      <c r="IH10" s="10" t="str">
        <f aca="false">IF(SUMPRODUCT((Отпуска!$A$5:$A$17=$A10)*(Отпуска!$B$5:$B$17&lt;=IH$5)*(Отпуска!$D$5:$D$17&gt;=IH$5))&gt;0,"О","")</f>
        <v/>
      </c>
      <c r="II10" s="10" t="str">
        <f aca="false">IF(SUMPRODUCT((Отпуска!$A$5:$A$17=$A10)*(Отпуска!$B$5:$B$17&lt;=II$5)*(Отпуска!$D$5:$D$17&gt;=II$5))&gt;0,"О","")</f>
        <v/>
      </c>
      <c r="IJ10" s="10" t="str">
        <f aca="false">IF(SUMPRODUCT((Отпуска!$A$5:$A$17=$A10)*(Отпуска!$B$5:$B$17&lt;=IJ$5)*(Отпуска!$D$5:$D$17&gt;=IJ$5))&gt;0,"О","")</f>
        <v/>
      </c>
      <c r="IK10" s="10" t="str">
        <f aca="false">IF(SUMPRODUCT((Отпуска!$A$5:$A$17=$A10)*(Отпуска!$B$5:$B$17&lt;=IK$5)*(Отпуска!$D$5:$D$17&gt;=IK$5))&gt;0,"О","")</f>
        <v/>
      </c>
      <c r="IL10" s="10" t="str">
        <f aca="false">IF(SUMPRODUCT((Отпуска!$A$5:$A$17=$A10)*(Отпуска!$B$5:$B$17&lt;=IL$5)*(Отпуска!$D$5:$D$17&gt;=IL$5))&gt;0,"О","")</f>
        <v/>
      </c>
      <c r="IM10" s="10" t="str">
        <f aca="false">IF(SUMPRODUCT((Отпуска!$A$5:$A$17=$A10)*(Отпуска!$B$5:$B$17&lt;=IM$5)*(Отпуска!$D$5:$D$17&gt;=IM$5))&gt;0,"О","")</f>
        <v/>
      </c>
      <c r="IN10" s="10" t="str">
        <f aca="false">IF(SUMPRODUCT((Отпуска!$A$5:$A$17=$A10)*(Отпуска!$B$5:$B$17&lt;=IN$5)*(Отпуска!$D$5:$D$17&gt;=IN$5))&gt;0,"О","")</f>
        <v/>
      </c>
      <c r="IO10" s="10" t="str">
        <f aca="false">IF(SUMPRODUCT((Отпуска!$A$5:$A$17=$A10)*(Отпуска!$B$5:$B$17&lt;=IO$5)*(Отпуска!$D$5:$D$17&gt;=IO$5))&gt;0,"О","")</f>
        <v/>
      </c>
      <c r="IP10" s="10" t="str">
        <f aca="false">IF(SUMPRODUCT((Отпуска!$A$5:$A$17=$A10)*(Отпуска!$B$5:$B$17&lt;=IP$5)*(Отпуска!$D$5:$D$17&gt;=IP$5))&gt;0,"О","")</f>
        <v/>
      </c>
      <c r="IQ10" s="10" t="str">
        <f aca="false">IF(SUMPRODUCT((Отпуска!$A$5:$A$17=$A10)*(Отпуска!$B$5:$B$17&lt;=IQ$5)*(Отпуска!$D$5:$D$17&gt;=IQ$5))&gt;0,"О","")</f>
        <v/>
      </c>
      <c r="IR10" s="10" t="str">
        <f aca="false">IF(SUMPRODUCT((Отпуска!$A$5:$A$17=$A10)*(Отпуска!$B$5:$B$17&lt;=IR$5)*(Отпуска!$D$5:$D$17&gt;=IR$5))&gt;0,"О","")</f>
        <v/>
      </c>
      <c r="IS10" s="10" t="str">
        <f aca="false">IF(SUMPRODUCT((Отпуска!$A$5:$A$17=$A10)*(Отпуска!$B$5:$B$17&lt;=IS$5)*(Отпуска!$D$5:$D$17&gt;=IS$5))&gt;0,"О","")</f>
        <v/>
      </c>
      <c r="IT10" s="10" t="str">
        <f aca="false">IF(SUMPRODUCT((Отпуска!$A$5:$A$17=$A10)*(Отпуска!$B$5:$B$17&lt;=IT$5)*(Отпуска!$D$5:$D$17&gt;=IT$5))&gt;0,"О","")</f>
        <v/>
      </c>
      <c r="IU10" s="10" t="str">
        <f aca="false">IF(SUMPRODUCT((Отпуска!$A$5:$A$17=$A10)*(Отпуска!$B$5:$B$17&lt;=IU$5)*(Отпуска!$D$5:$D$17&gt;=IU$5))&gt;0,"О","")</f>
        <v/>
      </c>
      <c r="IV10" s="10" t="str">
        <f aca="false">IF(SUMPRODUCT((Отпуска!$A$5:$A$17=$A10)*(Отпуска!$B$5:$B$17&lt;=IV$5)*(Отпуска!$D$5:$D$17&gt;=IV$5))&gt;0,"О","")</f>
        <v/>
      </c>
      <c r="IW10" s="10" t="str">
        <f aca="false">IF(SUMPRODUCT((Отпуска!$A$5:$A$17=$A10)*(Отпуска!$B$5:$B$17&lt;=IW$5)*(Отпуска!$D$5:$D$17&gt;=IW$5))&gt;0,"О","")</f>
        <v/>
      </c>
      <c r="IX10" s="10" t="str">
        <f aca="false">IF(SUMPRODUCT((Отпуска!$A$5:$A$17=$A10)*(Отпуска!$B$5:$B$17&lt;=IX$5)*(Отпуска!$D$5:$D$17&gt;=IX$5))&gt;0,"О","")</f>
        <v/>
      </c>
      <c r="IY10" s="10" t="str">
        <f aca="false">IF(SUMPRODUCT((Отпуска!$A$5:$A$17=$A10)*(Отпуска!$B$5:$B$17&lt;=IY$5)*(Отпуска!$D$5:$D$17&gt;=IY$5))&gt;0,"О","")</f>
        <v/>
      </c>
      <c r="IZ10" s="10" t="str">
        <f aca="false">IF(SUMPRODUCT((Отпуска!$A$5:$A$17=$A10)*(Отпуска!$B$5:$B$17&lt;=IZ$5)*(Отпуска!$D$5:$D$17&gt;=IZ$5))&gt;0,"О","")</f>
        <v/>
      </c>
      <c r="JA10" s="10" t="str">
        <f aca="false">IF(SUMPRODUCT((Отпуска!$A$5:$A$17=$A10)*(Отпуска!$B$5:$B$17&lt;=JA$5)*(Отпуска!$D$5:$D$17&gt;=JA$5))&gt;0,"О","")</f>
        <v/>
      </c>
      <c r="JB10" s="10" t="str">
        <f aca="false">IF(SUMPRODUCT((Отпуска!$A$5:$A$17=$A10)*(Отпуска!$B$5:$B$17&lt;=JB$5)*(Отпуска!$D$5:$D$17&gt;=JB$5))&gt;0,"О","")</f>
        <v/>
      </c>
      <c r="JC10" s="10" t="str">
        <f aca="false">IF(SUMPRODUCT((Отпуска!$A$5:$A$17=$A10)*(Отпуска!$B$5:$B$17&lt;=JC$5)*(Отпуска!$D$5:$D$17&gt;=JC$5))&gt;0,"О","")</f>
        <v/>
      </c>
      <c r="JD10" s="10" t="str">
        <f aca="false">IF(SUMPRODUCT((Отпуска!$A$5:$A$17=$A10)*(Отпуска!$B$5:$B$17&lt;=JD$5)*(Отпуска!$D$5:$D$17&gt;=JD$5))&gt;0,"О","")</f>
        <v/>
      </c>
      <c r="JE10" s="10" t="str">
        <f aca="false">IF(SUMPRODUCT((Отпуска!$A$5:$A$17=$A10)*(Отпуска!$B$5:$B$17&lt;=JE$5)*(Отпуска!$D$5:$D$17&gt;=JE$5))&gt;0,"О","")</f>
        <v/>
      </c>
      <c r="JF10" s="10" t="str">
        <f aca="false">IF(SUMPRODUCT((Отпуска!$A$5:$A$17=$A10)*(Отпуска!$B$5:$B$17&lt;=JF$5)*(Отпуска!$D$5:$D$17&gt;=JF$5))&gt;0,"О","")</f>
        <v/>
      </c>
      <c r="JG10" s="10" t="str">
        <f aca="false">IF(SUMPRODUCT((Отпуска!$A$5:$A$17=$A10)*(Отпуска!$B$5:$B$17&lt;=JG$5)*(Отпуска!$D$5:$D$17&gt;=JG$5))&gt;0,"О","")</f>
        <v/>
      </c>
      <c r="JH10" s="10" t="str">
        <f aca="false">IF(SUMPRODUCT((Отпуска!$A$5:$A$17=$A10)*(Отпуска!$B$5:$B$17&lt;=JH$5)*(Отпуска!$D$5:$D$17&gt;=JH$5))&gt;0,"О","")</f>
        <v/>
      </c>
      <c r="JI10" s="10" t="str">
        <f aca="false">IF(SUMPRODUCT((Отпуска!$A$5:$A$17=$A10)*(Отпуска!$B$5:$B$17&lt;=JI$5)*(Отпуска!$D$5:$D$17&gt;=JI$5))&gt;0,"О","")</f>
        <v/>
      </c>
      <c r="JJ10" s="10" t="str">
        <f aca="false">IF(SUMPRODUCT((Отпуска!$A$5:$A$17=$A10)*(Отпуска!$B$5:$B$17&lt;=JJ$5)*(Отпуска!$D$5:$D$17&gt;=JJ$5))&gt;0,"О","")</f>
        <v/>
      </c>
      <c r="JK10" s="10" t="str">
        <f aca="false">IF(SUMPRODUCT((Отпуска!$A$5:$A$17=$A10)*(Отпуска!$B$5:$B$17&lt;=JK$5)*(Отпуска!$D$5:$D$17&gt;=JK$5))&gt;0,"О","")</f>
        <v/>
      </c>
      <c r="JL10" s="10" t="str">
        <f aca="false">IF(SUMPRODUCT((Отпуска!$A$5:$A$17=$A10)*(Отпуска!$B$5:$B$17&lt;=JL$5)*(Отпуска!$D$5:$D$17&gt;=JL$5))&gt;0,"О","")</f>
        <v/>
      </c>
      <c r="JM10" s="10" t="str">
        <f aca="false">IF(SUMPRODUCT((Отпуска!$A$5:$A$17=$A10)*(Отпуска!$B$5:$B$17&lt;=JM$5)*(Отпуска!$D$5:$D$17&gt;=JM$5))&gt;0,"О","")</f>
        <v/>
      </c>
      <c r="JN10" s="10" t="str">
        <f aca="false">IF(SUMPRODUCT((Отпуска!$A$5:$A$17=$A10)*(Отпуска!$B$5:$B$17&lt;=JN$5)*(Отпуска!$D$5:$D$17&gt;=JN$5))&gt;0,"О","")</f>
        <v/>
      </c>
      <c r="JO10" s="10" t="str">
        <f aca="false">IF(SUMPRODUCT((Отпуска!$A$5:$A$17=$A10)*(Отпуска!$B$5:$B$17&lt;=JO$5)*(Отпуска!$D$5:$D$17&gt;=JO$5))&gt;0,"О","")</f>
        <v/>
      </c>
      <c r="JP10" s="10" t="str">
        <f aca="false">IF(SUMPRODUCT((Отпуска!$A$5:$A$17=$A10)*(Отпуска!$B$5:$B$17&lt;=JP$5)*(Отпуска!$D$5:$D$17&gt;=JP$5))&gt;0,"О","")</f>
        <v/>
      </c>
      <c r="JQ10" s="10" t="str">
        <f aca="false">IF(SUMPRODUCT((Отпуска!$A$5:$A$17=$A10)*(Отпуска!$B$5:$B$17&lt;=JQ$5)*(Отпуска!$D$5:$D$17&gt;=JQ$5))&gt;0,"О","")</f>
        <v/>
      </c>
      <c r="JR10" s="10" t="str">
        <f aca="false">IF(SUMPRODUCT((Отпуска!$A$5:$A$17=$A10)*(Отпуска!$B$5:$B$17&lt;=JR$5)*(Отпуска!$D$5:$D$17&gt;=JR$5))&gt;0,"О","")</f>
        <v/>
      </c>
      <c r="JS10" s="10" t="str">
        <f aca="false">IF(SUMPRODUCT((Отпуска!$A$5:$A$17=$A10)*(Отпуска!$B$5:$B$17&lt;=JS$5)*(Отпуска!$D$5:$D$17&gt;=JS$5))&gt;0,"О","")</f>
        <v/>
      </c>
      <c r="JT10" s="10" t="str">
        <f aca="false">IF(SUMPRODUCT((Отпуска!$A$5:$A$17=$A10)*(Отпуска!$B$5:$B$17&lt;=JT$5)*(Отпуска!$D$5:$D$17&gt;=JT$5))&gt;0,"О","")</f>
        <v/>
      </c>
      <c r="JU10" s="10" t="str">
        <f aca="false">IF(SUMPRODUCT((Отпуска!$A$5:$A$17=$A10)*(Отпуска!$B$5:$B$17&lt;=JU$5)*(Отпуска!$D$5:$D$17&gt;=JU$5))&gt;0,"О","")</f>
        <v/>
      </c>
      <c r="JV10" s="10" t="str">
        <f aca="false">IF(SUMPRODUCT((Отпуска!$A$5:$A$17=$A10)*(Отпуска!$B$5:$B$17&lt;=JV$5)*(Отпуска!$D$5:$D$17&gt;=JV$5))&gt;0,"О","")</f>
        <v/>
      </c>
      <c r="JW10" s="10" t="str">
        <f aca="false">IF(SUMPRODUCT((Отпуска!$A$5:$A$17=$A10)*(Отпуска!$B$5:$B$17&lt;=JW$5)*(Отпуска!$D$5:$D$17&gt;=JW$5))&gt;0,"О","")</f>
        <v/>
      </c>
      <c r="JX10" s="10" t="str">
        <f aca="false">IF(SUMPRODUCT((Отпуска!$A$5:$A$17=$A10)*(Отпуска!$B$5:$B$17&lt;=JX$5)*(Отпуска!$D$5:$D$17&gt;=JX$5))&gt;0,"О","")</f>
        <v/>
      </c>
      <c r="JY10" s="10" t="str">
        <f aca="false">IF(SUMPRODUCT((Отпуска!$A$5:$A$17=$A10)*(Отпуска!$B$5:$B$17&lt;=JY$5)*(Отпуска!$D$5:$D$17&gt;=JY$5))&gt;0,"О","")</f>
        <v/>
      </c>
      <c r="JZ10" s="10" t="str">
        <f aca="false">IF(SUMPRODUCT((Отпуска!$A$5:$A$17=$A10)*(Отпуска!$B$5:$B$17&lt;=JZ$5)*(Отпуска!$D$5:$D$17&gt;=JZ$5))&gt;0,"О","")</f>
        <v/>
      </c>
      <c r="KA10" s="10" t="str">
        <f aca="false">IF(SUMPRODUCT((Отпуска!$A$5:$A$17=$A10)*(Отпуска!$B$5:$B$17&lt;=KA$5)*(Отпуска!$D$5:$D$17&gt;=KA$5))&gt;0,"О","")</f>
        <v/>
      </c>
      <c r="KB10" s="10" t="str">
        <f aca="false">IF(SUMPRODUCT((Отпуска!$A$5:$A$17=$A10)*(Отпуска!$B$5:$B$17&lt;=KB$5)*(Отпуска!$D$5:$D$17&gt;=KB$5))&gt;0,"О","")</f>
        <v/>
      </c>
      <c r="KC10" s="10" t="str">
        <f aca="false">IF(SUMPRODUCT((Отпуска!$A$5:$A$17=$A10)*(Отпуска!$B$5:$B$17&lt;=KC$5)*(Отпуска!$D$5:$D$17&gt;=KC$5))&gt;0,"О","")</f>
        <v/>
      </c>
      <c r="KD10" s="10" t="str">
        <f aca="false">IF(SUMPRODUCT((Отпуска!$A$5:$A$17=$A10)*(Отпуска!$B$5:$B$17&lt;=KD$5)*(Отпуска!$D$5:$D$17&gt;=KD$5))&gt;0,"О","")</f>
        <v/>
      </c>
      <c r="KE10" s="10" t="str">
        <f aca="false">IF(SUMPRODUCT((Отпуска!$A$5:$A$17=$A10)*(Отпуска!$B$5:$B$17&lt;=KE$5)*(Отпуска!$D$5:$D$17&gt;=KE$5))&gt;0,"О","")</f>
        <v/>
      </c>
      <c r="KF10" s="10" t="str">
        <f aca="false">IF(SUMPRODUCT((Отпуска!$A$5:$A$17=$A10)*(Отпуска!$B$5:$B$17&lt;=KF$5)*(Отпуска!$D$5:$D$17&gt;=KF$5))&gt;0,"О","")</f>
        <v/>
      </c>
      <c r="KG10" s="10" t="str">
        <f aca="false">IF(SUMPRODUCT((Отпуска!$A$5:$A$17=$A10)*(Отпуска!$B$5:$B$17&lt;=KG$5)*(Отпуска!$D$5:$D$17&gt;=KG$5))&gt;0,"О","")</f>
        <v/>
      </c>
      <c r="KH10" s="10" t="str">
        <f aca="false">IF(SUMPRODUCT((Отпуска!$A$5:$A$17=$A10)*(Отпуска!$B$5:$B$17&lt;=KH$5)*(Отпуска!$D$5:$D$17&gt;=KH$5))&gt;0,"О","")</f>
        <v/>
      </c>
      <c r="KI10" s="10" t="str">
        <f aca="false">IF(SUMPRODUCT((Отпуска!$A$5:$A$17=$A10)*(Отпуска!$B$5:$B$17&lt;=KI$5)*(Отпуска!$D$5:$D$17&gt;=KI$5))&gt;0,"О","")</f>
        <v/>
      </c>
      <c r="KJ10" s="10" t="str">
        <f aca="false">IF(SUMPRODUCT((Отпуска!$A$5:$A$17=$A10)*(Отпуска!$B$5:$B$17&lt;=KJ$5)*(Отпуска!$D$5:$D$17&gt;=KJ$5))&gt;0,"О","")</f>
        <v/>
      </c>
      <c r="KK10" s="10" t="str">
        <f aca="false">IF(SUMPRODUCT((Отпуска!$A$5:$A$17=$A10)*(Отпуска!$B$5:$B$17&lt;=KK$5)*(Отпуска!$D$5:$D$17&gt;=KK$5))&gt;0,"О","")</f>
        <v/>
      </c>
      <c r="KL10" s="10" t="str">
        <f aca="false">IF(SUMPRODUCT((Отпуска!$A$5:$A$17=$A10)*(Отпуска!$B$5:$B$17&lt;=KL$5)*(Отпуска!$D$5:$D$17&gt;=KL$5))&gt;0,"О","")</f>
        <v/>
      </c>
      <c r="KM10" s="10" t="str">
        <f aca="false">IF(SUMPRODUCT((Отпуска!$A$5:$A$17=$A10)*(Отпуска!$B$5:$B$17&lt;=KM$5)*(Отпуска!$D$5:$D$17&gt;=KM$5))&gt;0,"О","")</f>
        <v/>
      </c>
      <c r="KN10" s="10" t="str">
        <f aca="false">IF(SUMPRODUCT((Отпуска!$A$5:$A$17=$A10)*(Отпуска!$B$5:$B$17&lt;=KN$5)*(Отпуска!$D$5:$D$17&gt;=KN$5))&gt;0,"О","")</f>
        <v/>
      </c>
      <c r="KO10" s="10" t="str">
        <f aca="false">IF(SUMPRODUCT((Отпуска!$A$5:$A$17=$A10)*(Отпуска!$B$5:$B$17&lt;=KO$5)*(Отпуска!$D$5:$D$17&gt;=KO$5))&gt;0,"О","")</f>
        <v>О</v>
      </c>
      <c r="KP10" s="10" t="str">
        <f aca="false">IF(SUMPRODUCT((Отпуска!$A$5:$A$17=$A10)*(Отпуска!$B$5:$B$17&lt;=KP$5)*(Отпуска!$D$5:$D$17&gt;=KP$5))&gt;0,"О","")</f>
        <v>О</v>
      </c>
      <c r="KQ10" s="10" t="str">
        <f aca="false">IF(SUMPRODUCT((Отпуска!$A$5:$A$17=$A10)*(Отпуска!$B$5:$B$17&lt;=KQ$5)*(Отпуска!$D$5:$D$17&gt;=KQ$5))&gt;0,"О","")</f>
        <v>О</v>
      </c>
      <c r="KR10" s="10" t="str">
        <f aca="false">IF(SUMPRODUCT((Отпуска!$A$5:$A$17=$A10)*(Отпуска!$B$5:$B$17&lt;=KR$5)*(Отпуска!$D$5:$D$17&gt;=KR$5))&gt;0,"О","")</f>
        <v>О</v>
      </c>
      <c r="KS10" s="10" t="str">
        <f aca="false">IF(SUMPRODUCT((Отпуска!$A$5:$A$17=$A10)*(Отпуска!$B$5:$B$17&lt;=KS$5)*(Отпуска!$D$5:$D$17&gt;=KS$5))&gt;0,"О","")</f>
        <v>О</v>
      </c>
      <c r="KT10" s="10" t="str">
        <f aca="false">IF(SUMPRODUCT((Отпуска!$A$5:$A$17=$A10)*(Отпуска!$B$5:$B$17&lt;=KT$5)*(Отпуска!$D$5:$D$17&gt;=KT$5))&gt;0,"О","")</f>
        <v>О</v>
      </c>
      <c r="KU10" s="10" t="str">
        <f aca="false">IF(SUMPRODUCT((Отпуска!$A$5:$A$17=$A10)*(Отпуска!$B$5:$B$17&lt;=KU$5)*(Отпуска!$D$5:$D$17&gt;=KU$5))&gt;0,"О","")</f>
        <v>О</v>
      </c>
      <c r="KV10" s="10" t="str">
        <f aca="false">IF(SUMPRODUCT((Отпуска!$A$5:$A$17=$A10)*(Отпуска!$B$5:$B$17&lt;=KV$5)*(Отпуска!$D$5:$D$17&gt;=KV$5))&gt;0,"О","")</f>
        <v>О</v>
      </c>
      <c r="KW10" s="10" t="str">
        <f aca="false">IF(SUMPRODUCT((Отпуска!$A$5:$A$17=$A10)*(Отпуска!$B$5:$B$17&lt;=KW$5)*(Отпуска!$D$5:$D$17&gt;=KW$5))&gt;0,"О","")</f>
        <v>О</v>
      </c>
      <c r="KX10" s="10" t="str">
        <f aca="false">IF(SUMPRODUCT((Отпуска!$A$5:$A$17=$A10)*(Отпуска!$B$5:$B$17&lt;=KX$5)*(Отпуска!$D$5:$D$17&gt;=KX$5))&gt;0,"О","")</f>
        <v>О</v>
      </c>
      <c r="KY10" s="10" t="str">
        <f aca="false">IF(SUMPRODUCT((Отпуска!$A$5:$A$17=$A10)*(Отпуска!$B$5:$B$17&lt;=KY$5)*(Отпуска!$D$5:$D$17&gt;=KY$5))&gt;0,"О","")</f>
        <v/>
      </c>
      <c r="KZ10" s="10" t="str">
        <f aca="false">IF(SUMPRODUCT((Отпуска!$A$5:$A$17=$A10)*(Отпуска!$B$5:$B$17&lt;=KZ$5)*(Отпуска!$D$5:$D$17&gt;=KZ$5))&gt;0,"О","")</f>
        <v/>
      </c>
      <c r="LA10" s="10" t="str">
        <f aca="false">IF(SUMPRODUCT((Отпуска!$A$5:$A$17=$A10)*(Отпуска!$B$5:$B$17&lt;=LA$5)*(Отпуска!$D$5:$D$17&gt;=LA$5))&gt;0,"О","")</f>
        <v/>
      </c>
      <c r="LB10" s="10" t="str">
        <f aca="false">IF(SUMPRODUCT((Отпуска!$A$5:$A$17=$A10)*(Отпуска!$B$5:$B$17&lt;=LB$5)*(Отпуска!$D$5:$D$17&gt;=LB$5))&gt;0,"О","")</f>
        <v/>
      </c>
      <c r="LC10" s="10" t="str">
        <f aca="false">IF(SUMPRODUCT((Отпуска!$A$5:$A$17=$A10)*(Отпуска!$B$5:$B$17&lt;=LC$5)*(Отпуска!$D$5:$D$17&gt;=LC$5))&gt;0,"О","")</f>
        <v/>
      </c>
      <c r="LD10" s="10" t="str">
        <f aca="false">IF(SUMPRODUCT((Отпуска!$A$5:$A$17=$A10)*(Отпуска!$B$5:$B$17&lt;=LD$5)*(Отпуска!$D$5:$D$17&gt;=LD$5))&gt;0,"О","")</f>
        <v/>
      </c>
      <c r="LE10" s="10" t="str">
        <f aca="false">IF(SUMPRODUCT((Отпуска!$A$5:$A$17=$A10)*(Отпуска!$B$5:$B$17&lt;=LE$5)*(Отпуска!$D$5:$D$17&gt;=LE$5))&gt;0,"О","")</f>
        <v/>
      </c>
      <c r="LF10" s="10" t="str">
        <f aca="false">IF(SUMPRODUCT((Отпуска!$A$5:$A$17=$A10)*(Отпуска!$B$5:$B$17&lt;=LF$5)*(Отпуска!$D$5:$D$17&gt;=LF$5))&gt;0,"О","")</f>
        <v/>
      </c>
      <c r="LG10" s="10" t="str">
        <f aca="false">IF(SUMPRODUCT((Отпуска!$A$5:$A$17=$A10)*(Отпуска!$B$5:$B$17&lt;=LG$5)*(Отпуска!$D$5:$D$17&gt;=LG$5))&gt;0,"О","")</f>
        <v/>
      </c>
      <c r="LH10" s="10" t="str">
        <f aca="false">IF(SUMPRODUCT((Отпуска!$A$5:$A$17=$A10)*(Отпуска!$B$5:$B$17&lt;=LH$5)*(Отпуска!$D$5:$D$17&gt;=LH$5))&gt;0,"О","")</f>
        <v/>
      </c>
      <c r="LI10" s="10" t="str">
        <f aca="false">IF(SUMPRODUCT((Отпуска!$A$5:$A$17=$A10)*(Отпуска!$B$5:$B$17&lt;=LI$5)*(Отпуска!$D$5:$D$17&gt;=LI$5))&gt;0,"О","")</f>
        <v/>
      </c>
      <c r="LJ10" s="10" t="str">
        <f aca="false">IF(SUMPRODUCT((Отпуска!$A$5:$A$17=$A10)*(Отпуска!$B$5:$B$17&lt;=LJ$5)*(Отпуска!$D$5:$D$17&gt;=LJ$5))&gt;0,"О","")</f>
        <v/>
      </c>
      <c r="LK10" s="10" t="str">
        <f aca="false">IF(SUMPRODUCT((Отпуска!$A$5:$A$17=$A10)*(Отпуска!$B$5:$B$17&lt;=LK$5)*(Отпуска!$D$5:$D$17&gt;=LK$5))&gt;0,"О","")</f>
        <v/>
      </c>
      <c r="LL10" s="10" t="str">
        <f aca="false">IF(SUMPRODUCT((Отпуска!$A$5:$A$17=$A10)*(Отпуска!$B$5:$B$17&lt;=LL$5)*(Отпуска!$D$5:$D$17&gt;=LL$5))&gt;0,"О","")</f>
        <v/>
      </c>
      <c r="LM10" s="10" t="str">
        <f aca="false">IF(SUMPRODUCT((Отпуска!$A$5:$A$17=$A10)*(Отпуска!$B$5:$B$17&lt;=LM$5)*(Отпуска!$D$5:$D$17&gt;=LM$5))&gt;0,"О","")</f>
        <v/>
      </c>
      <c r="LN10" s="10" t="str">
        <f aca="false">IF(SUMPRODUCT((Отпуска!$A$5:$A$17=$A10)*(Отпуска!$B$5:$B$17&lt;=LN$5)*(Отпуска!$D$5:$D$17&gt;=LN$5))&gt;0,"О","")</f>
        <v/>
      </c>
      <c r="LO10" s="10" t="str">
        <f aca="false">IF(SUMPRODUCT((Отпуска!$A$5:$A$17=$A10)*(Отпуска!$B$5:$B$17&lt;=LO$5)*(Отпуска!$D$5:$D$17&gt;=LO$5))&gt;0,"О","")</f>
        <v/>
      </c>
      <c r="LP10" s="10" t="str">
        <f aca="false">IF(SUMPRODUCT((Отпуска!$A$5:$A$17=$A10)*(Отпуска!$B$5:$B$17&lt;=LP$5)*(Отпуска!$D$5:$D$17&gt;=LP$5))&gt;0,"О","")</f>
        <v/>
      </c>
      <c r="LQ10" s="10" t="str">
        <f aca="false">IF(SUMPRODUCT((Отпуска!$A$5:$A$17=$A10)*(Отпуска!$B$5:$B$17&lt;=LQ$5)*(Отпуска!$D$5:$D$17&gt;=LQ$5))&gt;0,"О","")</f>
        <v/>
      </c>
      <c r="LR10" s="10" t="str">
        <f aca="false">IF(SUMPRODUCT((Отпуска!$A$5:$A$17=$A10)*(Отпуска!$B$5:$B$17&lt;=LR$5)*(Отпуска!$D$5:$D$17&gt;=LR$5))&gt;0,"О","")</f>
        <v/>
      </c>
      <c r="LS10" s="10" t="str">
        <f aca="false">IF(SUMPRODUCT((Отпуска!$A$5:$A$17=$A10)*(Отпуска!$B$5:$B$17&lt;=LS$5)*(Отпуска!$D$5:$D$17&gt;=LS$5))&gt;0,"О","")</f>
        <v/>
      </c>
      <c r="LT10" s="10" t="str">
        <f aca="false">IF(SUMPRODUCT((Отпуска!$A$5:$A$17=$A10)*(Отпуска!$B$5:$B$17&lt;=LT$5)*(Отпуска!$D$5:$D$17&gt;=LT$5))&gt;0,"О","")</f>
        <v/>
      </c>
      <c r="LU10" s="10" t="str">
        <f aca="false">IF(SUMPRODUCT((Отпуска!$A$5:$A$17=$A10)*(Отпуска!$B$5:$B$17&lt;=LU$5)*(Отпуска!$D$5:$D$17&gt;=LU$5))&gt;0,"О","")</f>
        <v/>
      </c>
      <c r="LV10" s="10" t="str">
        <f aca="false">IF(SUMPRODUCT((Отпуска!$A$5:$A$17=$A10)*(Отпуска!$B$5:$B$17&lt;=LV$5)*(Отпуска!$D$5:$D$17&gt;=LV$5))&gt;0,"О","")</f>
        <v/>
      </c>
      <c r="LW10" s="10" t="str">
        <f aca="false">IF(SUMPRODUCT((Отпуска!$A$5:$A$17=$A10)*(Отпуска!$B$5:$B$17&lt;=LW$5)*(Отпуска!$D$5:$D$17&gt;=LW$5))&gt;0,"О","")</f>
        <v/>
      </c>
      <c r="LX10" s="10" t="str">
        <f aca="false">IF(SUMPRODUCT((Отпуска!$A$5:$A$17=$A10)*(Отпуска!$B$5:$B$17&lt;=LX$5)*(Отпуска!$D$5:$D$17&gt;=LX$5))&gt;0,"О","")</f>
        <v/>
      </c>
      <c r="LY10" s="10" t="str">
        <f aca="false">IF(SUMPRODUCT((Отпуска!$A$5:$A$17=$A10)*(Отпуска!$B$5:$B$17&lt;=LY$5)*(Отпуска!$D$5:$D$17&gt;=LY$5))&gt;0,"О","")</f>
        <v/>
      </c>
      <c r="LZ10" s="10" t="str">
        <f aca="false">IF(SUMPRODUCT((Отпуска!$A$5:$A$17=$A10)*(Отпуска!$B$5:$B$17&lt;=LZ$5)*(Отпуска!$D$5:$D$17&gt;=LZ$5))&gt;0,"О","")</f>
        <v/>
      </c>
      <c r="MA10" s="10" t="str">
        <f aca="false">IF(SUMPRODUCT((Отпуска!$A$5:$A$17=$A10)*(Отпуска!$B$5:$B$17&lt;=MA$5)*(Отпуска!$D$5:$D$17&gt;=MA$5))&gt;0,"О","")</f>
        <v/>
      </c>
      <c r="MB10" s="10" t="str">
        <f aca="false">IF(SUMPRODUCT((Отпуска!$A$5:$A$17=$A10)*(Отпуска!$B$5:$B$17&lt;=MB$5)*(Отпуска!$D$5:$D$17&gt;=MB$5))&gt;0,"О","")</f>
        <v/>
      </c>
      <c r="MC10" s="10" t="str">
        <f aca="false">IF(SUMPRODUCT((Отпуска!$A$5:$A$17=$A10)*(Отпуска!$B$5:$B$17&lt;=MC$5)*(Отпуска!$D$5:$D$17&gt;=MC$5))&gt;0,"О","")</f>
        <v/>
      </c>
      <c r="MD10" s="10" t="str">
        <f aca="false">IF(SUMPRODUCT((Отпуска!$A$5:$A$17=$A10)*(Отпуска!$B$5:$B$17&lt;=MD$5)*(Отпуска!$D$5:$D$17&gt;=MD$5))&gt;0,"О","")</f>
        <v/>
      </c>
      <c r="ME10" s="10" t="str">
        <f aca="false">IF(SUMPRODUCT((Отпуска!$A$5:$A$17=$A10)*(Отпуска!$B$5:$B$17&lt;=ME$5)*(Отпуска!$D$5:$D$17&gt;=ME$5))&gt;0,"О","")</f>
        <v/>
      </c>
      <c r="MF10" s="10" t="str">
        <f aca="false">IF(SUMPRODUCT((Отпуска!$A$5:$A$17=$A10)*(Отпуска!$B$5:$B$17&lt;=MF$5)*(Отпуска!$D$5:$D$17&gt;=MF$5))&gt;0,"О","")</f>
        <v/>
      </c>
      <c r="MG10" s="10" t="str">
        <f aca="false">IF(SUMPRODUCT((Отпуска!$A$5:$A$17=$A10)*(Отпуска!$B$5:$B$17&lt;=MG$5)*(Отпуска!$D$5:$D$17&gt;=MG$5))&gt;0,"О","")</f>
        <v/>
      </c>
      <c r="MH10" s="10" t="str">
        <f aca="false">IF(SUMPRODUCT((Отпуска!$A$5:$A$17=$A10)*(Отпуска!$B$5:$B$17&lt;=MH$5)*(Отпуска!$D$5:$D$17&gt;=MH$5))&gt;0,"О","")</f>
        <v/>
      </c>
      <c r="MI10" s="10" t="str">
        <f aca="false">IF(SUMPRODUCT((Отпуска!$A$5:$A$17=$A10)*(Отпуска!$B$5:$B$17&lt;=MI$5)*(Отпуска!$D$5:$D$17&gt;=MI$5))&gt;0,"О","")</f>
        <v/>
      </c>
      <c r="MJ10" s="10" t="str">
        <f aca="false">IF(SUMPRODUCT((Отпуска!$A$5:$A$17=$A10)*(Отпуска!$B$5:$B$17&lt;=MJ$5)*(Отпуска!$D$5:$D$17&gt;=MJ$5))&gt;0,"О","")</f>
        <v/>
      </c>
      <c r="MK10" s="10" t="str">
        <f aca="false">IF(SUMPRODUCT((Отпуска!$A$5:$A$17=$A10)*(Отпуска!$B$5:$B$17&lt;=MK$5)*(Отпуска!$D$5:$D$17&gt;=MK$5))&gt;0,"О","")</f>
        <v/>
      </c>
      <c r="ML10" s="10" t="str">
        <f aca="false">IF(SUMPRODUCT((Отпуска!$A$5:$A$17=$A10)*(Отпуска!$B$5:$B$17&lt;=ML$5)*(Отпуска!$D$5:$D$17&gt;=ML$5))&gt;0,"О","")</f>
        <v/>
      </c>
      <c r="MM10" s="10" t="str">
        <f aca="false">IF(SUMPRODUCT((Отпуска!$A$5:$A$17=$A10)*(Отпуска!$B$5:$B$17&lt;=MM$5)*(Отпуска!$D$5:$D$17&gt;=MM$5))&gt;0,"О","")</f>
        <v/>
      </c>
      <c r="MN10" s="10" t="str">
        <f aca="false">IF(SUMPRODUCT((Отпуска!$A$5:$A$17=$A10)*(Отпуска!$B$5:$B$17&lt;=MN$5)*(Отпуска!$D$5:$D$17&gt;=MN$5))&gt;0,"О","")</f>
        <v/>
      </c>
      <c r="MO10" s="10" t="str">
        <f aca="false">IF(SUMPRODUCT((Отпуска!$A$5:$A$17=$A10)*(Отпуска!$B$5:$B$17&lt;=MO$5)*(Отпуска!$D$5:$D$17&gt;=MO$5))&gt;0,"О","")</f>
        <v/>
      </c>
      <c r="MP10" s="10" t="str">
        <f aca="false">IF(SUMPRODUCT((Отпуска!$A$5:$A$17=$A10)*(Отпуска!$B$5:$B$17&lt;=MP$5)*(Отпуска!$D$5:$D$17&gt;=MP$5))&gt;0,"О","")</f>
        <v/>
      </c>
      <c r="MQ10" s="10" t="str">
        <f aca="false">IF(SUMPRODUCT((Отпуска!$A$5:$A$17=$A10)*(Отпуска!$B$5:$B$17&lt;=MQ$5)*(Отпуска!$D$5:$D$17&gt;=MQ$5))&gt;0,"О","")</f>
        <v/>
      </c>
      <c r="MR10" s="10" t="str">
        <f aca="false">IF(SUMPRODUCT((Отпуска!$A$5:$A$17=$A10)*(Отпуска!$B$5:$B$17&lt;=MR$5)*(Отпуска!$D$5:$D$17&gt;=MR$5))&gt;0,"О","")</f>
        <v/>
      </c>
      <c r="MS10" s="10" t="str">
        <f aca="false">IF(SUMPRODUCT((Отпуска!$A$5:$A$17=$A10)*(Отпуска!$B$5:$B$17&lt;=MS$5)*(Отпуска!$D$5:$D$17&gt;=MS$5))&gt;0,"О","")</f>
        <v/>
      </c>
      <c r="MT10" s="10" t="str">
        <f aca="false">IF(SUMPRODUCT((Отпуска!$A$5:$A$17=$A10)*(Отпуска!$B$5:$B$17&lt;=MT$5)*(Отпуска!$D$5:$D$17&gt;=MT$5))&gt;0,"О","")</f>
        <v/>
      </c>
      <c r="MU10" s="10" t="str">
        <f aca="false">IF(SUMPRODUCT((Отпуска!$A$5:$A$17=$A10)*(Отпуска!$B$5:$B$17&lt;=MU$5)*(Отпуска!$D$5:$D$17&gt;=MU$5))&gt;0,"О","")</f>
        <v/>
      </c>
      <c r="MV10" s="10" t="str">
        <f aca="false">IF(SUMPRODUCT((Отпуска!$A$5:$A$17=$A10)*(Отпуска!$B$5:$B$17&lt;=MV$5)*(Отпуска!$D$5:$D$17&gt;=MV$5))&gt;0,"О","")</f>
        <v/>
      </c>
      <c r="MW10" s="10" t="str">
        <f aca="false">IF(SUMPRODUCT((Отпуска!$A$5:$A$17=$A10)*(Отпуска!$B$5:$B$17&lt;=MW$5)*(Отпуска!$D$5:$D$17&gt;=MW$5))&gt;0,"О","")</f>
        <v/>
      </c>
      <c r="MX10" s="10" t="str">
        <f aca="false">IF(SUMPRODUCT((Отпуска!$A$5:$A$17=$A10)*(Отпуска!$B$5:$B$17&lt;=MX$5)*(Отпуска!$D$5:$D$17&gt;=MX$5))&gt;0,"О","")</f>
        <v/>
      </c>
      <c r="MY10" s="10" t="str">
        <f aca="false">IF(SUMPRODUCT((Отпуска!$A$5:$A$17=$A10)*(Отпуска!$B$5:$B$17&lt;=MY$5)*(Отпуска!$D$5:$D$17&gt;=MY$5))&gt;0,"О","")</f>
        <v/>
      </c>
      <c r="MZ10" s="10" t="str">
        <f aca="false">IF(SUMPRODUCT((Отпуска!$A$5:$A$17=$A10)*(Отпуска!$B$5:$B$17&lt;=MZ$5)*(Отпуска!$D$5:$D$17&gt;=MZ$5))&gt;0,"О","")</f>
        <v/>
      </c>
      <c r="NA10" s="10" t="str">
        <f aca="false">IF(SUMPRODUCT((Отпуска!$A$5:$A$17=$A10)*(Отпуска!$B$5:$B$17&lt;=NA$5)*(Отпуска!$D$5:$D$17&gt;=NA$5))&gt;0,"О","")</f>
        <v/>
      </c>
      <c r="NB10" s="10" t="str">
        <f aca="false">IF(SUMPRODUCT((Отпуска!$A$5:$A$17=$A10)*(Отпуска!$B$5:$B$17&lt;=NB$5)*(Отпуска!$D$5:$D$17&gt;=NB$5))&gt;0,"О","")</f>
        <v/>
      </c>
      <c r="NC10" s="10" t="str">
        <f aca="false">IF(SUMPRODUCT((Отпуска!$A$5:$A$17=$A10)*(Отпуска!$B$5:$B$17&lt;=NC$5)*(Отпуска!$D$5:$D$17&gt;=NC$5))&gt;0,"О","")</f>
        <v/>
      </c>
      <c r="ND10" s="10" t="str">
        <f aca="false">IF(SUMPRODUCT((Отпуска!$A$5:$A$17=$A10)*(Отпуска!$B$5:$B$17&lt;=ND$5)*(Отпуска!$D$5:$D$17&gt;=ND$5))&gt;0,"О","")</f>
        <v/>
      </c>
    </row>
    <row r="11" customFormat="false" ht="15" hidden="false" customHeight="false" outlineLevel="0" collapsed="false">
      <c r="A11" s="14" t="s">
        <v>21</v>
      </c>
      <c r="B11" s="15" t="n">
        <f aca="false">COUNTIF(D11:ND11,"&gt;=2")</f>
        <v>59</v>
      </c>
      <c r="C11" s="16" t="s">
        <v>22</v>
      </c>
      <c r="D11" s="17" t="n">
        <f aca="false">COUNTIF(D7:D10,"О")</f>
        <v>0</v>
      </c>
      <c r="E11" s="17" t="n">
        <f aca="false">COUNTIF(E7:E10,"О")</f>
        <v>0</v>
      </c>
      <c r="F11" s="17" t="n">
        <f aca="false">COUNTIF(F7:F10,"О")</f>
        <v>0</v>
      </c>
      <c r="G11" s="17" t="n">
        <f aca="false">COUNTIF(G7:G10,"О")</f>
        <v>0</v>
      </c>
      <c r="H11" s="17" t="n">
        <f aca="false">COUNTIF(H7:H10,"О")</f>
        <v>0</v>
      </c>
      <c r="I11" s="17" t="n">
        <f aca="false">COUNTIF(I7:I10,"О")</f>
        <v>0</v>
      </c>
      <c r="J11" s="17" t="n">
        <f aca="false">COUNTIF(J7:J10,"О")</f>
        <v>0</v>
      </c>
      <c r="K11" s="17" t="n">
        <f aca="false">COUNTIF(K7:K10,"О")</f>
        <v>0</v>
      </c>
      <c r="L11" s="17" t="n">
        <f aca="false">COUNTIF(L7:L10,"О")</f>
        <v>0</v>
      </c>
      <c r="M11" s="17" t="n">
        <f aca="false">COUNTIF(M7:M10,"О")</f>
        <v>0</v>
      </c>
      <c r="N11" s="17" t="n">
        <f aca="false">COUNTIF(N7:N10,"О")</f>
        <v>0</v>
      </c>
      <c r="O11" s="17" t="n">
        <f aca="false">COUNTIF(O7:O10,"О")</f>
        <v>0</v>
      </c>
      <c r="P11" s="17" t="n">
        <f aca="false">COUNTIF(P7:P10,"О")</f>
        <v>0</v>
      </c>
      <c r="Q11" s="17" t="n">
        <f aca="false">COUNTIF(Q7:Q10,"О")</f>
        <v>0</v>
      </c>
      <c r="R11" s="17" t="n">
        <f aca="false">COUNTIF(R7:R10,"О")</f>
        <v>0</v>
      </c>
      <c r="S11" s="17" t="n">
        <f aca="false">COUNTIF(S7:S10,"О")</f>
        <v>0</v>
      </c>
      <c r="T11" s="17" t="n">
        <f aca="false">COUNTIF(T7:T10,"О")</f>
        <v>0</v>
      </c>
      <c r="U11" s="17" t="n">
        <f aca="false">COUNTIF(U7:U10,"О")</f>
        <v>0</v>
      </c>
      <c r="V11" s="17" t="n">
        <f aca="false">COUNTIF(V7:V10,"О")</f>
        <v>0</v>
      </c>
      <c r="W11" s="17" t="n">
        <f aca="false">COUNTIF(W7:W10,"О")</f>
        <v>0</v>
      </c>
      <c r="X11" s="17" t="n">
        <f aca="false">COUNTIF(X7:X10,"О")</f>
        <v>0</v>
      </c>
      <c r="Y11" s="17" t="n">
        <f aca="false">COUNTIF(Y7:Y10,"О")</f>
        <v>0</v>
      </c>
      <c r="Z11" s="17" t="n">
        <f aca="false">COUNTIF(Z7:Z10,"О")</f>
        <v>0</v>
      </c>
      <c r="AA11" s="17" t="n">
        <f aca="false">COUNTIF(AA7:AA10,"О")</f>
        <v>0</v>
      </c>
      <c r="AB11" s="17" t="n">
        <f aca="false">COUNTIF(AB7:AB10,"О")</f>
        <v>0</v>
      </c>
      <c r="AC11" s="17" t="n">
        <f aca="false">COUNTIF(AC7:AC10,"О")</f>
        <v>0</v>
      </c>
      <c r="AD11" s="17" t="n">
        <f aca="false">COUNTIF(AD7:AD10,"О")</f>
        <v>0</v>
      </c>
      <c r="AE11" s="17" t="n">
        <f aca="false">COUNTIF(AE7:AE10,"О")</f>
        <v>0</v>
      </c>
      <c r="AF11" s="17" t="n">
        <f aca="false">COUNTIF(AF7:AF10,"О")</f>
        <v>0</v>
      </c>
      <c r="AG11" s="17" t="n">
        <f aca="false">COUNTIF(AG7:AG10,"О")</f>
        <v>0</v>
      </c>
      <c r="AH11" s="17" t="n">
        <f aca="false">COUNTIF(AH7:AH10,"О")</f>
        <v>0</v>
      </c>
      <c r="AI11" s="17" t="n">
        <f aca="false">COUNTIF(AI7:AI10,"О")</f>
        <v>0</v>
      </c>
      <c r="AJ11" s="17" t="n">
        <f aca="false">COUNTIF(AJ7:AJ10,"О")</f>
        <v>0</v>
      </c>
      <c r="AK11" s="17" t="n">
        <f aca="false">COUNTIF(AK7:AK10,"О")</f>
        <v>0</v>
      </c>
      <c r="AL11" s="17" t="n">
        <f aca="false">COUNTIF(AL7:AL10,"О")</f>
        <v>0</v>
      </c>
      <c r="AM11" s="17" t="n">
        <f aca="false">COUNTIF(AM7:AM10,"О")</f>
        <v>0</v>
      </c>
      <c r="AN11" s="17" t="n">
        <f aca="false">COUNTIF(AN7:AN10,"О")</f>
        <v>0</v>
      </c>
      <c r="AO11" s="17" t="n">
        <f aca="false">COUNTIF(AO7:AO10,"О")</f>
        <v>0</v>
      </c>
      <c r="AP11" s="17" t="n">
        <f aca="false">COUNTIF(AP7:AP10,"О")</f>
        <v>0</v>
      </c>
      <c r="AQ11" s="17" t="n">
        <f aca="false">COUNTIF(AQ7:AQ10,"О")</f>
        <v>0</v>
      </c>
      <c r="AR11" s="17" t="n">
        <f aca="false">COUNTIF(AR7:AR10,"О")</f>
        <v>0</v>
      </c>
      <c r="AS11" s="17" t="n">
        <f aca="false">COUNTIF(AS7:AS10,"О")</f>
        <v>0</v>
      </c>
      <c r="AT11" s="17" t="n">
        <f aca="false">COUNTIF(AT7:AT10,"О")</f>
        <v>0</v>
      </c>
      <c r="AU11" s="17" t="n">
        <f aca="false">COUNTIF(AU7:AU10,"О")</f>
        <v>0</v>
      </c>
      <c r="AV11" s="17" t="n">
        <f aca="false">COUNTIF(AV7:AV10,"О")</f>
        <v>0</v>
      </c>
      <c r="AW11" s="17" t="n">
        <f aca="false">COUNTIF(AW7:AW10,"О")</f>
        <v>1</v>
      </c>
      <c r="AX11" s="17" t="n">
        <f aca="false">COUNTIF(AX7:AX10,"О")</f>
        <v>1</v>
      </c>
      <c r="AY11" s="17" t="n">
        <f aca="false">COUNTIF(AY7:AY10,"О")</f>
        <v>1</v>
      </c>
      <c r="AZ11" s="17" t="n">
        <f aca="false">COUNTIF(AZ7:AZ10,"О")</f>
        <v>1</v>
      </c>
      <c r="BA11" s="17" t="n">
        <f aca="false">COUNTIF(BA7:BA10,"О")</f>
        <v>1</v>
      </c>
      <c r="BB11" s="17" t="n">
        <f aca="false">COUNTIF(BB7:BB10,"О")</f>
        <v>1</v>
      </c>
      <c r="BC11" s="17" t="n">
        <f aca="false">COUNTIF(BC7:BC10,"О")</f>
        <v>1</v>
      </c>
      <c r="BD11" s="17" t="n">
        <f aca="false">COUNTIF(BD7:BD10,"О")</f>
        <v>1</v>
      </c>
      <c r="BE11" s="17" t="n">
        <f aca="false">COUNTIF(BE7:BE10,"О")</f>
        <v>1</v>
      </c>
      <c r="BF11" s="17" t="n">
        <f aca="false">COUNTIF(BF7:BF10,"О")</f>
        <v>1</v>
      </c>
      <c r="BG11" s="17" t="n">
        <f aca="false">COUNTIF(BG7:BG10,"О")</f>
        <v>1</v>
      </c>
      <c r="BH11" s="17" t="n">
        <f aca="false">COUNTIF(BH7:BH10,"О")</f>
        <v>0</v>
      </c>
      <c r="BI11" s="17" t="n">
        <f aca="false">COUNTIF(BI7:BI10,"О")</f>
        <v>0</v>
      </c>
      <c r="BJ11" s="17" t="n">
        <f aca="false">COUNTIF(BJ7:BJ10,"О")</f>
        <v>0</v>
      </c>
      <c r="BK11" s="17" t="n">
        <f aca="false">COUNTIF(BK7:BK10,"О")</f>
        <v>0</v>
      </c>
      <c r="BL11" s="17" t="n">
        <f aca="false">COUNTIF(BL7:BL10,"О")</f>
        <v>0</v>
      </c>
      <c r="BM11" s="17" t="n">
        <f aca="false">COUNTIF(BM7:BM10,"О")</f>
        <v>0</v>
      </c>
      <c r="BN11" s="17" t="n">
        <f aca="false">COUNTIF(BN7:BN10,"О")</f>
        <v>0</v>
      </c>
      <c r="BO11" s="17" t="n">
        <f aca="false">COUNTIF(BO7:BO10,"О")</f>
        <v>0</v>
      </c>
      <c r="BP11" s="17" t="n">
        <f aca="false">COUNTIF(BP7:BP10,"О")</f>
        <v>0</v>
      </c>
      <c r="BQ11" s="17" t="n">
        <f aca="false">COUNTIF(BQ7:BQ10,"О")</f>
        <v>0</v>
      </c>
      <c r="BR11" s="17" t="n">
        <f aca="false">COUNTIF(BR7:BR10,"О")</f>
        <v>0</v>
      </c>
      <c r="BS11" s="17" t="n">
        <f aca="false">COUNTIF(BS7:BS10,"О")</f>
        <v>2</v>
      </c>
      <c r="BT11" s="17" t="n">
        <f aca="false">COUNTIF(BT7:BT10,"О")</f>
        <v>2</v>
      </c>
      <c r="BU11" s="17" t="n">
        <f aca="false">COUNTIF(BU7:BU10,"О")</f>
        <v>2</v>
      </c>
      <c r="BV11" s="17" t="n">
        <f aca="false">COUNTIF(BV7:BV10,"О")</f>
        <v>2</v>
      </c>
      <c r="BW11" s="17" t="n">
        <f aca="false">COUNTIF(BW7:BW10,"О")</f>
        <v>2</v>
      </c>
      <c r="BX11" s="17" t="n">
        <f aca="false">COUNTIF(BX7:BX10,"О")</f>
        <v>2</v>
      </c>
      <c r="BY11" s="17" t="n">
        <f aca="false">COUNTIF(BY7:BY10,"О")</f>
        <v>2</v>
      </c>
      <c r="BZ11" s="17" t="n">
        <f aca="false">COUNTIF(BZ7:BZ10,"О")</f>
        <v>2</v>
      </c>
      <c r="CA11" s="17" t="n">
        <f aca="false">COUNTIF(CA7:CA10,"О")</f>
        <v>2</v>
      </c>
      <c r="CB11" s="17" t="n">
        <f aca="false">COUNTIF(CB7:CB10,"О")</f>
        <v>2</v>
      </c>
      <c r="CC11" s="17" t="n">
        <f aca="false">COUNTIF(CC7:CC10,"О")</f>
        <v>2</v>
      </c>
      <c r="CD11" s="17" t="n">
        <f aca="false">COUNTIF(CD7:CD10,"О")</f>
        <v>2</v>
      </c>
      <c r="CE11" s="17" t="n">
        <f aca="false">COUNTIF(CE7:CE10,"О")</f>
        <v>2</v>
      </c>
      <c r="CF11" s="17" t="n">
        <f aca="false">COUNTIF(CF7:CF10,"О")</f>
        <v>2</v>
      </c>
      <c r="CG11" s="17" t="n">
        <f aca="false">COUNTIF(CG7:CG10,"О")</f>
        <v>2</v>
      </c>
      <c r="CH11" s="17" t="n">
        <f aca="false">COUNTIF(CH7:CH10,"О")</f>
        <v>2</v>
      </c>
      <c r="CI11" s="17" t="n">
        <f aca="false">COUNTIF(CI7:CI10,"О")</f>
        <v>2</v>
      </c>
      <c r="CJ11" s="17" t="n">
        <f aca="false">COUNTIF(CJ7:CJ10,"О")</f>
        <v>2</v>
      </c>
      <c r="CK11" s="17" t="n">
        <f aca="false">COUNTIF(CK7:CK10,"О")</f>
        <v>1</v>
      </c>
      <c r="CL11" s="17" t="n">
        <f aca="false">COUNTIF(CL7:CL10,"О")</f>
        <v>1</v>
      </c>
      <c r="CM11" s="17" t="n">
        <f aca="false">COUNTIF(CM7:CM10,"О")</f>
        <v>0</v>
      </c>
      <c r="CN11" s="17" t="n">
        <f aca="false">COUNTIF(CN7:CN10,"О")</f>
        <v>0</v>
      </c>
      <c r="CO11" s="17" t="n">
        <f aca="false">COUNTIF(CO7:CO10,"О")</f>
        <v>0</v>
      </c>
      <c r="CP11" s="17" t="n">
        <f aca="false">COUNTIF(CP7:CP10,"О")</f>
        <v>0</v>
      </c>
      <c r="CQ11" s="17" t="n">
        <f aca="false">COUNTIF(CQ7:CQ10,"О")</f>
        <v>0</v>
      </c>
      <c r="CR11" s="17" t="n">
        <f aca="false">COUNTIF(CR7:CR10,"О")</f>
        <v>0</v>
      </c>
      <c r="CS11" s="17" t="n">
        <f aca="false">COUNTIF(CS7:CS10,"О")</f>
        <v>0</v>
      </c>
      <c r="CT11" s="17" t="n">
        <f aca="false">COUNTIF(CT7:CT10,"О")</f>
        <v>0</v>
      </c>
      <c r="CU11" s="17" t="n">
        <f aca="false">COUNTIF(CU7:CU10,"О")</f>
        <v>0</v>
      </c>
      <c r="CV11" s="17" t="n">
        <f aca="false">COUNTIF(CV7:CV10,"О")</f>
        <v>0</v>
      </c>
      <c r="CW11" s="17" t="n">
        <f aca="false">COUNTIF(CW7:CW10,"О")</f>
        <v>0</v>
      </c>
      <c r="CX11" s="17" t="n">
        <f aca="false">COUNTIF(CX7:CX10,"О")</f>
        <v>0</v>
      </c>
      <c r="CY11" s="17" t="n">
        <f aca="false">COUNTIF(CY7:CY10,"О")</f>
        <v>0</v>
      </c>
      <c r="CZ11" s="17" t="n">
        <f aca="false">COUNTIF(CZ7:CZ10,"О")</f>
        <v>0</v>
      </c>
      <c r="DA11" s="17" t="n">
        <f aca="false">COUNTIF(DA7:DA10,"О")</f>
        <v>0</v>
      </c>
      <c r="DB11" s="17" t="n">
        <f aca="false">COUNTIF(DB7:DB10,"О")</f>
        <v>0</v>
      </c>
      <c r="DC11" s="17" t="n">
        <f aca="false">COUNTIF(DC7:DC10,"О")</f>
        <v>0</v>
      </c>
      <c r="DD11" s="17" t="n">
        <f aca="false">COUNTIF(DD7:DD10,"О")</f>
        <v>0</v>
      </c>
      <c r="DE11" s="17" t="n">
        <f aca="false">COUNTIF(DE7:DE10,"О")</f>
        <v>0</v>
      </c>
      <c r="DF11" s="17" t="n">
        <f aca="false">COUNTIF(DF7:DF10,"О")</f>
        <v>0</v>
      </c>
      <c r="DG11" s="17" t="n">
        <f aca="false">COUNTIF(DG7:DG10,"О")</f>
        <v>0</v>
      </c>
      <c r="DH11" s="17" t="n">
        <f aca="false">COUNTIF(DH7:DH10,"О")</f>
        <v>0</v>
      </c>
      <c r="DI11" s="17" t="n">
        <f aca="false">COUNTIF(DI7:DI10,"О")</f>
        <v>0</v>
      </c>
      <c r="DJ11" s="17" t="n">
        <f aca="false">COUNTIF(DJ7:DJ10,"О")</f>
        <v>0</v>
      </c>
      <c r="DK11" s="17" t="n">
        <f aca="false">COUNTIF(DK7:DK10,"О")</f>
        <v>0</v>
      </c>
      <c r="DL11" s="17" t="n">
        <f aca="false">COUNTIF(DL7:DL10,"О")</f>
        <v>0</v>
      </c>
      <c r="DM11" s="17" t="n">
        <f aca="false">COUNTIF(DM7:DM10,"О")</f>
        <v>0</v>
      </c>
      <c r="DN11" s="17" t="n">
        <f aca="false">COUNTIF(DN7:DN10,"О")</f>
        <v>0</v>
      </c>
      <c r="DO11" s="17" t="n">
        <f aca="false">COUNTIF(DO7:DO10,"О")</f>
        <v>0</v>
      </c>
      <c r="DP11" s="17" t="n">
        <f aca="false">COUNTIF(DP7:DP10,"О")</f>
        <v>0</v>
      </c>
      <c r="DQ11" s="17" t="n">
        <f aca="false">COUNTIF(DQ7:DQ10,"О")</f>
        <v>0</v>
      </c>
      <c r="DR11" s="17" t="n">
        <f aca="false">COUNTIF(DR7:DR10,"О")</f>
        <v>0</v>
      </c>
      <c r="DS11" s="17" t="n">
        <f aca="false">COUNTIF(DS7:DS10,"О")</f>
        <v>0</v>
      </c>
      <c r="DT11" s="17" t="n">
        <f aca="false">COUNTIF(DT7:DT10,"О")</f>
        <v>0</v>
      </c>
      <c r="DU11" s="17" t="n">
        <f aca="false">COUNTIF(DU7:DU10,"О")</f>
        <v>0</v>
      </c>
      <c r="DV11" s="17" t="n">
        <f aca="false">COUNTIF(DV7:DV10,"О")</f>
        <v>0</v>
      </c>
      <c r="DW11" s="17" t="n">
        <f aca="false">COUNTIF(DW7:DW10,"О")</f>
        <v>1</v>
      </c>
      <c r="DX11" s="17" t="n">
        <f aca="false">COUNTIF(DX7:DX10,"О")</f>
        <v>1</v>
      </c>
      <c r="DY11" s="17" t="n">
        <f aca="false">COUNTIF(DY7:DY10,"О")</f>
        <v>1</v>
      </c>
      <c r="DZ11" s="17" t="n">
        <f aca="false">COUNTIF(DZ7:DZ10,"О")</f>
        <v>1</v>
      </c>
      <c r="EA11" s="17" t="n">
        <f aca="false">COUNTIF(EA7:EA10,"О")</f>
        <v>1</v>
      </c>
      <c r="EB11" s="17" t="n">
        <f aca="false">COUNTIF(EB7:EB10,"О")</f>
        <v>1</v>
      </c>
      <c r="EC11" s="17" t="n">
        <f aca="false">COUNTIF(EC7:EC10,"О")</f>
        <v>1</v>
      </c>
      <c r="ED11" s="17" t="n">
        <f aca="false">COUNTIF(ED7:ED10,"О")</f>
        <v>1</v>
      </c>
      <c r="EE11" s="17" t="n">
        <f aca="false">COUNTIF(EE7:EE10,"О")</f>
        <v>1</v>
      </c>
      <c r="EF11" s="17" t="n">
        <f aca="false">COUNTIF(EF7:EF10,"О")</f>
        <v>1</v>
      </c>
      <c r="EG11" s="17" t="n">
        <f aca="false">COUNTIF(EG7:EG10,"О")</f>
        <v>1</v>
      </c>
      <c r="EH11" s="17" t="n">
        <f aca="false">COUNTIF(EH7:EH10,"О")</f>
        <v>1</v>
      </c>
      <c r="EI11" s="17" t="n">
        <f aca="false">COUNTIF(EI7:EI10,"О")</f>
        <v>1</v>
      </c>
      <c r="EJ11" s="17" t="n">
        <f aca="false">COUNTIF(EJ7:EJ10,"О")</f>
        <v>1</v>
      </c>
      <c r="EK11" s="17" t="n">
        <f aca="false">COUNTIF(EK7:EK10,"О")</f>
        <v>1</v>
      </c>
      <c r="EL11" s="17" t="n">
        <f aca="false">COUNTIF(EL7:EL10,"О")</f>
        <v>1</v>
      </c>
      <c r="EM11" s="17" t="n">
        <f aca="false">COUNTIF(EM7:EM10,"О")</f>
        <v>1</v>
      </c>
      <c r="EN11" s="17" t="n">
        <f aca="false">COUNTIF(EN7:EN10,"О")</f>
        <v>0</v>
      </c>
      <c r="EO11" s="17" t="n">
        <f aca="false">COUNTIF(EO7:EO10,"О")</f>
        <v>0</v>
      </c>
      <c r="EP11" s="17" t="n">
        <f aca="false">COUNTIF(EP7:EP10,"О")</f>
        <v>0</v>
      </c>
      <c r="EQ11" s="17" t="n">
        <f aca="false">COUNTIF(EQ7:EQ10,"О")</f>
        <v>0</v>
      </c>
      <c r="ER11" s="17" t="n">
        <f aca="false">COUNTIF(ER7:ER10,"О")</f>
        <v>0</v>
      </c>
      <c r="ES11" s="17" t="n">
        <f aca="false">COUNTIF(ES7:ES10,"О")</f>
        <v>0</v>
      </c>
      <c r="ET11" s="17" t="n">
        <f aca="false">COUNTIF(ET7:ET10,"О")</f>
        <v>0</v>
      </c>
      <c r="EU11" s="17" t="n">
        <f aca="false">COUNTIF(EU7:EU10,"О")</f>
        <v>0</v>
      </c>
      <c r="EV11" s="17" t="n">
        <f aca="false">COUNTIF(EV7:EV10,"О")</f>
        <v>0</v>
      </c>
      <c r="EW11" s="17" t="n">
        <f aca="false">COUNTIF(EW7:EW10,"О")</f>
        <v>0</v>
      </c>
      <c r="EX11" s="17" t="n">
        <f aca="false">COUNTIF(EX7:EX10,"О")</f>
        <v>1</v>
      </c>
      <c r="EY11" s="17" t="n">
        <f aca="false">COUNTIF(EY7:EY10,"О")</f>
        <v>1</v>
      </c>
      <c r="EZ11" s="17" t="n">
        <f aca="false">COUNTIF(EZ7:EZ10,"О")</f>
        <v>1</v>
      </c>
      <c r="FA11" s="17" t="n">
        <f aca="false">COUNTIF(FA7:FA10,"О")</f>
        <v>1</v>
      </c>
      <c r="FB11" s="17" t="n">
        <f aca="false">COUNTIF(FB7:FB10,"О")</f>
        <v>1</v>
      </c>
      <c r="FC11" s="17" t="n">
        <f aca="false">COUNTIF(FC7:FC10,"О")</f>
        <v>1</v>
      </c>
      <c r="FD11" s="17" t="n">
        <f aca="false">COUNTIF(FD7:FD10,"О")</f>
        <v>1</v>
      </c>
      <c r="FE11" s="17" t="n">
        <f aca="false">COUNTIF(FE7:FE10,"О")</f>
        <v>1</v>
      </c>
      <c r="FF11" s="17" t="n">
        <f aca="false">COUNTIF(FF7:FF10,"О")</f>
        <v>1</v>
      </c>
      <c r="FG11" s="17" t="n">
        <f aca="false">COUNTIF(FG7:FG10,"О")</f>
        <v>1</v>
      </c>
      <c r="FH11" s="17" t="n">
        <f aca="false">COUNTIF(FH7:FH10,"О")</f>
        <v>1</v>
      </c>
      <c r="FI11" s="17" t="n">
        <f aca="false">COUNTIF(FI7:FI10,"О")</f>
        <v>1</v>
      </c>
      <c r="FJ11" s="17" t="n">
        <f aca="false">COUNTIF(FJ7:FJ10,"О")</f>
        <v>1</v>
      </c>
      <c r="FK11" s="17" t="n">
        <f aca="false">COUNTIF(FK7:FK10,"О")</f>
        <v>1</v>
      </c>
      <c r="FL11" s="17" t="n">
        <f aca="false">COUNTIF(FL7:FL10,"О")</f>
        <v>1</v>
      </c>
      <c r="FM11" s="17" t="n">
        <f aca="false">COUNTIF(FM7:FM10,"О")</f>
        <v>2</v>
      </c>
      <c r="FN11" s="17" t="n">
        <f aca="false">COUNTIF(FN7:FN10,"О")</f>
        <v>2</v>
      </c>
      <c r="FO11" s="17" t="n">
        <f aca="false">COUNTIF(FO7:FO10,"О")</f>
        <v>2</v>
      </c>
      <c r="FP11" s="17" t="n">
        <f aca="false">COUNTIF(FP7:FP10,"О")</f>
        <v>2</v>
      </c>
      <c r="FQ11" s="17" t="n">
        <f aca="false">COUNTIF(FQ7:FQ10,"О")</f>
        <v>2</v>
      </c>
      <c r="FR11" s="17" t="n">
        <f aca="false">COUNTIF(FR7:FR10,"О")</f>
        <v>2</v>
      </c>
      <c r="FS11" s="17" t="n">
        <f aca="false">COUNTIF(FS7:FS10,"О")</f>
        <v>2</v>
      </c>
      <c r="FT11" s="17" t="n">
        <f aca="false">COUNTIF(FT7:FT10,"О")</f>
        <v>2</v>
      </c>
      <c r="FU11" s="17" t="n">
        <f aca="false">COUNTIF(FU7:FU10,"О")</f>
        <v>2</v>
      </c>
      <c r="FV11" s="17" t="n">
        <f aca="false">COUNTIF(FV7:FV10,"О")</f>
        <v>2</v>
      </c>
      <c r="FW11" s="17" t="n">
        <f aca="false">COUNTIF(FW7:FW10,"О")</f>
        <v>2</v>
      </c>
      <c r="FX11" s="17" t="n">
        <f aca="false">COUNTIF(FX7:FX10,"О")</f>
        <v>2</v>
      </c>
      <c r="FY11" s="17" t="n">
        <f aca="false">COUNTIF(FY7:FY10,"О")</f>
        <v>2</v>
      </c>
      <c r="FZ11" s="17" t="n">
        <f aca="false">COUNTIF(FZ7:FZ10,"О")</f>
        <v>2</v>
      </c>
      <c r="GA11" s="17" t="n">
        <f aca="false">COUNTIF(GA7:GA10,"О")</f>
        <v>2</v>
      </c>
      <c r="GB11" s="17" t="n">
        <f aca="false">COUNTIF(GB7:GB10,"О")</f>
        <v>2</v>
      </c>
      <c r="GC11" s="17" t="n">
        <f aca="false">COUNTIF(GC7:GC10,"О")</f>
        <v>2</v>
      </c>
      <c r="GD11" s="17" t="n">
        <f aca="false">COUNTIF(GD7:GD10,"О")</f>
        <v>2</v>
      </c>
      <c r="GE11" s="17" t="n">
        <f aca="false">COUNTIF(GE7:GE10,"О")</f>
        <v>2</v>
      </c>
      <c r="GF11" s="17" t="n">
        <f aca="false">COUNTIF(GF7:GF10,"О")</f>
        <v>1</v>
      </c>
      <c r="GG11" s="17" t="n">
        <f aca="false">COUNTIF(GG7:GG10,"О")</f>
        <v>1</v>
      </c>
      <c r="GH11" s="17" t="n">
        <f aca="false">COUNTIF(GH7:GH10,"О")</f>
        <v>1</v>
      </c>
      <c r="GI11" s="17" t="n">
        <f aca="false">COUNTIF(GI7:GI10,"О")</f>
        <v>1</v>
      </c>
      <c r="GJ11" s="17" t="n">
        <f aca="false">COUNTIF(GJ7:GJ10,"О")</f>
        <v>1</v>
      </c>
      <c r="GK11" s="17" t="n">
        <f aca="false">COUNTIF(GK7:GK10,"О")</f>
        <v>1</v>
      </c>
      <c r="GL11" s="17" t="n">
        <f aca="false">COUNTIF(GL7:GL10,"О")</f>
        <v>1</v>
      </c>
      <c r="GM11" s="17" t="n">
        <f aca="false">COUNTIF(GM7:GM10,"О")</f>
        <v>1</v>
      </c>
      <c r="GN11" s="17" t="n">
        <f aca="false">COUNTIF(GN7:GN10,"О")</f>
        <v>2</v>
      </c>
      <c r="GO11" s="17" t="n">
        <f aca="false">COUNTIF(GO7:GO10,"О")</f>
        <v>2</v>
      </c>
      <c r="GP11" s="17" t="n">
        <f aca="false">COUNTIF(GP7:GP10,"О")</f>
        <v>1</v>
      </c>
      <c r="GQ11" s="17" t="n">
        <f aca="false">COUNTIF(GQ7:GQ10,"О")</f>
        <v>1</v>
      </c>
      <c r="GR11" s="17" t="n">
        <f aca="false">COUNTIF(GR7:GR10,"О")</f>
        <v>1</v>
      </c>
      <c r="GS11" s="17" t="n">
        <f aca="false">COUNTIF(GS7:GS10,"О")</f>
        <v>1</v>
      </c>
      <c r="GT11" s="17" t="n">
        <f aca="false">COUNTIF(GT7:GT10,"О")</f>
        <v>1</v>
      </c>
      <c r="GU11" s="17" t="n">
        <f aca="false">COUNTIF(GU7:GU10,"О")</f>
        <v>1</v>
      </c>
      <c r="GV11" s="17" t="n">
        <f aca="false">COUNTIF(GV7:GV10,"О")</f>
        <v>1</v>
      </c>
      <c r="GW11" s="17" t="n">
        <f aca="false">COUNTIF(GW7:GW10,"О")</f>
        <v>1</v>
      </c>
      <c r="GX11" s="17" t="n">
        <f aca="false">COUNTIF(GX7:GX10,"О")</f>
        <v>1</v>
      </c>
      <c r="GY11" s="17" t="n">
        <f aca="false">COUNTIF(GY7:GY10,"О")</f>
        <v>1</v>
      </c>
      <c r="GZ11" s="17" t="n">
        <f aca="false">COUNTIF(GZ7:GZ10,"О")</f>
        <v>1</v>
      </c>
      <c r="HA11" s="17" t="n">
        <f aca="false">COUNTIF(HA7:HA10,"О")</f>
        <v>1</v>
      </c>
      <c r="HB11" s="17" t="n">
        <f aca="false">COUNTIF(HB7:HB10,"О")</f>
        <v>1</v>
      </c>
      <c r="HC11" s="17" t="n">
        <f aca="false">COUNTIF(HC7:HC10,"О")</f>
        <v>1</v>
      </c>
      <c r="HD11" s="17" t="n">
        <f aca="false">COUNTIF(HD7:HD10,"О")</f>
        <v>1</v>
      </c>
      <c r="HE11" s="17" t="n">
        <f aca="false">COUNTIF(HE7:HE10,"О")</f>
        <v>1</v>
      </c>
      <c r="HF11" s="17" t="n">
        <f aca="false">COUNTIF(HF7:HF10,"О")</f>
        <v>1</v>
      </c>
      <c r="HG11" s="17" t="n">
        <f aca="false">COUNTIF(HG7:HG10,"О")</f>
        <v>1</v>
      </c>
      <c r="HH11" s="17" t="n">
        <f aca="false">COUNTIF(HH7:HH10,"О")</f>
        <v>1</v>
      </c>
      <c r="HI11" s="17" t="n">
        <f aca="false">COUNTIF(HI7:HI10,"О")</f>
        <v>2</v>
      </c>
      <c r="HJ11" s="17" t="n">
        <f aca="false">COUNTIF(HJ7:HJ10,"О")</f>
        <v>2</v>
      </c>
      <c r="HK11" s="17" t="n">
        <f aca="false">COUNTIF(HK7:HK10,"О")</f>
        <v>2</v>
      </c>
      <c r="HL11" s="17" t="n">
        <f aca="false">COUNTIF(HL7:HL10,"О")</f>
        <v>2</v>
      </c>
      <c r="HM11" s="17" t="n">
        <f aca="false">COUNTIF(HM7:HM10,"О")</f>
        <v>2</v>
      </c>
      <c r="HN11" s="17" t="n">
        <f aca="false">COUNTIF(HN7:HN10,"О")</f>
        <v>2</v>
      </c>
      <c r="HO11" s="17" t="n">
        <f aca="false">COUNTIF(HO7:HO10,"О")</f>
        <v>2</v>
      </c>
      <c r="HP11" s="17" t="n">
        <f aca="false">COUNTIF(HP7:HP10,"О")</f>
        <v>2</v>
      </c>
      <c r="HQ11" s="17" t="n">
        <f aca="false">COUNTIF(HQ7:HQ10,"О")</f>
        <v>2</v>
      </c>
      <c r="HR11" s="17" t="n">
        <f aca="false">COUNTIF(HR7:HR10,"О")</f>
        <v>2</v>
      </c>
      <c r="HS11" s="17" t="n">
        <f aca="false">COUNTIF(HS7:HS10,"О")</f>
        <v>2</v>
      </c>
      <c r="HT11" s="17" t="n">
        <f aca="false">COUNTIF(HT7:HT10,"О")</f>
        <v>2</v>
      </c>
      <c r="HU11" s="17" t="n">
        <f aca="false">COUNTIF(HU7:HU10,"О")</f>
        <v>1</v>
      </c>
      <c r="HV11" s="17" t="n">
        <f aca="false">COUNTIF(HV7:HV10,"О")</f>
        <v>1</v>
      </c>
      <c r="HW11" s="17" t="n">
        <f aca="false">COUNTIF(HW7:HW10,"О")</f>
        <v>1</v>
      </c>
      <c r="HX11" s="17" t="n">
        <f aca="false">COUNTIF(HX7:HX10,"О")</f>
        <v>1</v>
      </c>
      <c r="HY11" s="17" t="n">
        <f aca="false">COUNTIF(HY7:HY10,"О")</f>
        <v>1</v>
      </c>
      <c r="HZ11" s="17" t="n">
        <f aca="false">COUNTIF(HZ7:HZ10,"О")</f>
        <v>1</v>
      </c>
      <c r="IA11" s="17" t="n">
        <f aca="false">COUNTIF(IA7:IA10,"О")</f>
        <v>1</v>
      </c>
      <c r="IB11" s="17" t="n">
        <f aca="false">COUNTIF(IB7:IB10,"О")</f>
        <v>0</v>
      </c>
      <c r="IC11" s="17" t="n">
        <f aca="false">COUNTIF(IC7:IC10,"О")</f>
        <v>0</v>
      </c>
      <c r="ID11" s="17" t="n">
        <f aca="false">COUNTIF(ID7:ID10,"О")</f>
        <v>0</v>
      </c>
      <c r="IE11" s="17" t="n">
        <f aca="false">COUNTIF(IE7:IE10,"О")</f>
        <v>0</v>
      </c>
      <c r="IF11" s="17" t="n">
        <f aca="false">COUNTIF(IF7:IF10,"О")</f>
        <v>0</v>
      </c>
      <c r="IG11" s="17" t="n">
        <f aca="false">COUNTIF(IG7:IG10,"О")</f>
        <v>0</v>
      </c>
      <c r="IH11" s="17" t="n">
        <f aca="false">COUNTIF(IH7:IH10,"О")</f>
        <v>0</v>
      </c>
      <c r="II11" s="17" t="n">
        <f aca="false">COUNTIF(II7:II10,"О")</f>
        <v>0</v>
      </c>
      <c r="IJ11" s="17" t="n">
        <f aca="false">COUNTIF(IJ7:IJ10,"О")</f>
        <v>0</v>
      </c>
      <c r="IK11" s="17" t="n">
        <f aca="false">COUNTIF(IK7:IK10,"О")</f>
        <v>0</v>
      </c>
      <c r="IL11" s="17" t="n">
        <f aca="false">COUNTIF(IL7:IL10,"О")</f>
        <v>0</v>
      </c>
      <c r="IM11" s="17" t="n">
        <f aca="false">COUNTIF(IM7:IM10,"О")</f>
        <v>0</v>
      </c>
      <c r="IN11" s="17" t="n">
        <f aca="false">COUNTIF(IN7:IN10,"О")</f>
        <v>0</v>
      </c>
      <c r="IO11" s="17" t="n">
        <f aca="false">COUNTIF(IO7:IO10,"О")</f>
        <v>0</v>
      </c>
      <c r="IP11" s="17" t="n">
        <f aca="false">COUNTIF(IP7:IP10,"О")</f>
        <v>0</v>
      </c>
      <c r="IQ11" s="17" t="n">
        <f aca="false">COUNTIF(IQ7:IQ10,"О")</f>
        <v>0</v>
      </c>
      <c r="IR11" s="17" t="n">
        <f aca="false">COUNTIF(IR7:IR10,"О")</f>
        <v>0</v>
      </c>
      <c r="IS11" s="17" t="n">
        <f aca="false">COUNTIF(IS7:IS10,"О")</f>
        <v>0</v>
      </c>
      <c r="IT11" s="17" t="n">
        <f aca="false">COUNTIF(IT7:IT10,"О")</f>
        <v>0</v>
      </c>
      <c r="IU11" s="17" t="n">
        <f aca="false">COUNTIF(IU7:IU10,"О")</f>
        <v>0</v>
      </c>
      <c r="IV11" s="17" t="n">
        <f aca="false">COUNTIF(IV7:IV10,"О")</f>
        <v>0</v>
      </c>
      <c r="IW11" s="17" t="n">
        <f aca="false">COUNTIF(IW7:IW10,"О")</f>
        <v>0</v>
      </c>
      <c r="IX11" s="17" t="n">
        <f aca="false">COUNTIF(IX7:IX10,"О")</f>
        <v>0</v>
      </c>
      <c r="IY11" s="17" t="n">
        <f aca="false">COUNTIF(IY7:IY10,"О")</f>
        <v>0</v>
      </c>
      <c r="IZ11" s="17" t="n">
        <f aca="false">COUNTIF(IZ7:IZ10,"О")</f>
        <v>0</v>
      </c>
      <c r="JA11" s="17" t="n">
        <f aca="false">COUNTIF(JA7:JA10,"О")</f>
        <v>0</v>
      </c>
      <c r="JB11" s="17" t="n">
        <f aca="false">COUNTIF(JB7:JB10,"О")</f>
        <v>0</v>
      </c>
      <c r="JC11" s="17" t="n">
        <f aca="false">COUNTIF(JC7:JC10,"О")</f>
        <v>0</v>
      </c>
      <c r="JD11" s="17" t="n">
        <f aca="false">COUNTIF(JD7:JD10,"О")</f>
        <v>0</v>
      </c>
      <c r="JE11" s="17" t="n">
        <f aca="false">COUNTIF(JE7:JE10,"О")</f>
        <v>0</v>
      </c>
      <c r="JF11" s="17" t="n">
        <f aca="false">COUNTIF(JF7:JF10,"О")</f>
        <v>0</v>
      </c>
      <c r="JG11" s="17" t="n">
        <f aca="false">COUNTIF(JG7:JG10,"О")</f>
        <v>0</v>
      </c>
      <c r="JH11" s="17" t="n">
        <f aca="false">COUNTIF(JH7:JH10,"О")</f>
        <v>0</v>
      </c>
      <c r="JI11" s="17" t="n">
        <f aca="false">COUNTIF(JI7:JI10,"О")</f>
        <v>0</v>
      </c>
      <c r="JJ11" s="17" t="n">
        <f aca="false">COUNTIF(JJ7:JJ10,"О")</f>
        <v>0</v>
      </c>
      <c r="JK11" s="17" t="n">
        <f aca="false">COUNTIF(JK7:JK10,"О")</f>
        <v>0</v>
      </c>
      <c r="JL11" s="17" t="n">
        <f aca="false">COUNTIF(JL7:JL10,"О")</f>
        <v>0</v>
      </c>
      <c r="JM11" s="17" t="n">
        <f aca="false">COUNTIF(JM7:JM10,"О")</f>
        <v>0</v>
      </c>
      <c r="JN11" s="17" t="n">
        <f aca="false">COUNTIF(JN7:JN10,"О")</f>
        <v>0</v>
      </c>
      <c r="JO11" s="17" t="n">
        <f aca="false">COUNTIF(JO7:JO10,"О")</f>
        <v>0</v>
      </c>
      <c r="JP11" s="17" t="n">
        <f aca="false">COUNTIF(JP7:JP10,"О")</f>
        <v>0</v>
      </c>
      <c r="JQ11" s="17" t="n">
        <f aca="false">COUNTIF(JQ7:JQ10,"О")</f>
        <v>0</v>
      </c>
      <c r="JR11" s="17" t="n">
        <f aca="false">COUNTIF(JR7:JR10,"О")</f>
        <v>0</v>
      </c>
      <c r="JS11" s="17" t="n">
        <f aca="false">COUNTIF(JS7:JS10,"О")</f>
        <v>0</v>
      </c>
      <c r="JT11" s="17" t="n">
        <f aca="false">COUNTIF(JT7:JT10,"О")</f>
        <v>0</v>
      </c>
      <c r="JU11" s="17" t="n">
        <f aca="false">COUNTIF(JU7:JU10,"О")</f>
        <v>0</v>
      </c>
      <c r="JV11" s="17" t="n">
        <f aca="false">COUNTIF(JV7:JV10,"О")</f>
        <v>0</v>
      </c>
      <c r="JW11" s="17" t="n">
        <f aca="false">COUNTIF(JW7:JW10,"О")</f>
        <v>0</v>
      </c>
      <c r="JX11" s="17" t="n">
        <f aca="false">COUNTIF(JX7:JX10,"О")</f>
        <v>0</v>
      </c>
      <c r="JY11" s="17" t="n">
        <f aca="false">COUNTIF(JY7:JY10,"О")</f>
        <v>0</v>
      </c>
      <c r="JZ11" s="17" t="n">
        <f aca="false">COUNTIF(JZ7:JZ10,"О")</f>
        <v>0</v>
      </c>
      <c r="KA11" s="17" t="n">
        <f aca="false">COUNTIF(KA7:KA10,"О")</f>
        <v>0</v>
      </c>
      <c r="KB11" s="17" t="n">
        <f aca="false">COUNTIF(KB7:KB10,"О")</f>
        <v>0</v>
      </c>
      <c r="KC11" s="17" t="n">
        <f aca="false">COUNTIF(KC7:KC10,"О")</f>
        <v>0</v>
      </c>
      <c r="KD11" s="17" t="n">
        <f aca="false">COUNTIF(KD7:KD10,"О")</f>
        <v>0</v>
      </c>
      <c r="KE11" s="17" t="n">
        <f aca="false">COUNTIF(KE7:KE10,"О")</f>
        <v>0</v>
      </c>
      <c r="KF11" s="17" t="n">
        <f aca="false">COUNTIF(KF7:KF10,"О")</f>
        <v>0</v>
      </c>
      <c r="KG11" s="17" t="n">
        <f aca="false">COUNTIF(KG7:KG10,"О")</f>
        <v>0</v>
      </c>
      <c r="KH11" s="17" t="n">
        <f aca="false">COUNTIF(KH7:KH10,"О")</f>
        <v>0</v>
      </c>
      <c r="KI11" s="17" t="n">
        <f aca="false">COUNTIF(KI7:KI10,"О")</f>
        <v>0</v>
      </c>
      <c r="KJ11" s="17" t="n">
        <f aca="false">COUNTIF(KJ7:KJ10,"О")</f>
        <v>0</v>
      </c>
      <c r="KK11" s="17" t="n">
        <f aca="false">COUNTIF(KK7:KK10,"О")</f>
        <v>0</v>
      </c>
      <c r="KL11" s="17" t="n">
        <f aca="false">COUNTIF(KL7:KL10,"О")</f>
        <v>0</v>
      </c>
      <c r="KM11" s="17" t="n">
        <f aca="false">COUNTIF(KM7:KM10,"О")</f>
        <v>0</v>
      </c>
      <c r="KN11" s="17" t="n">
        <f aca="false">COUNTIF(KN7:KN10,"О")</f>
        <v>0</v>
      </c>
      <c r="KO11" s="17" t="n">
        <f aca="false">COUNTIF(KO7:KO10,"О")</f>
        <v>1</v>
      </c>
      <c r="KP11" s="17" t="n">
        <f aca="false">COUNTIF(KP7:KP10,"О")</f>
        <v>1</v>
      </c>
      <c r="KQ11" s="17" t="n">
        <f aca="false">COUNTIF(KQ7:KQ10,"О")</f>
        <v>1</v>
      </c>
      <c r="KR11" s="17" t="n">
        <f aca="false">COUNTIF(KR7:KR10,"О")</f>
        <v>1</v>
      </c>
      <c r="KS11" s="17" t="n">
        <f aca="false">COUNTIF(KS7:KS10,"О")</f>
        <v>1</v>
      </c>
      <c r="KT11" s="17" t="n">
        <f aca="false">COUNTIF(KT7:KT10,"О")</f>
        <v>1</v>
      </c>
      <c r="KU11" s="17" t="n">
        <f aca="false">COUNTIF(KU7:KU10,"О")</f>
        <v>1</v>
      </c>
      <c r="KV11" s="17" t="n">
        <f aca="false">COUNTIF(KV7:KV10,"О")</f>
        <v>1</v>
      </c>
      <c r="KW11" s="17" t="n">
        <f aca="false">COUNTIF(KW7:KW10,"О")</f>
        <v>1</v>
      </c>
      <c r="KX11" s="17" t="n">
        <f aca="false">COUNTIF(KX7:KX10,"О")</f>
        <v>1</v>
      </c>
      <c r="KY11" s="17" t="n">
        <f aca="false">COUNTIF(KY7:KY10,"О")</f>
        <v>0</v>
      </c>
      <c r="KZ11" s="17" t="n">
        <f aca="false">COUNTIF(KZ7:KZ10,"О")</f>
        <v>0</v>
      </c>
      <c r="LA11" s="17" t="n">
        <f aca="false">COUNTIF(LA7:LA10,"О")</f>
        <v>0</v>
      </c>
      <c r="LB11" s="17" t="n">
        <f aca="false">COUNTIF(LB7:LB10,"О")</f>
        <v>0</v>
      </c>
      <c r="LC11" s="17" t="n">
        <f aca="false">COUNTIF(LC7:LC10,"О")</f>
        <v>0</v>
      </c>
      <c r="LD11" s="17" t="n">
        <f aca="false">COUNTIF(LD7:LD10,"О")</f>
        <v>0</v>
      </c>
      <c r="LE11" s="17" t="n">
        <f aca="false">COUNTIF(LE7:LE10,"О")</f>
        <v>0</v>
      </c>
      <c r="LF11" s="17" t="n">
        <f aca="false">COUNTIF(LF7:LF10,"О")</f>
        <v>0</v>
      </c>
      <c r="LG11" s="17" t="n">
        <f aca="false">COUNTIF(LG7:LG10,"О")</f>
        <v>0</v>
      </c>
      <c r="LH11" s="17" t="n">
        <f aca="false">COUNTIF(LH7:LH10,"О")</f>
        <v>0</v>
      </c>
      <c r="LI11" s="17" t="n">
        <f aca="false">COUNTIF(LI7:LI10,"О")</f>
        <v>0</v>
      </c>
      <c r="LJ11" s="17" t="n">
        <f aca="false">COUNTIF(LJ7:LJ10,"О")</f>
        <v>0</v>
      </c>
      <c r="LK11" s="17" t="n">
        <f aca="false">COUNTIF(LK7:LK10,"О")</f>
        <v>0</v>
      </c>
      <c r="LL11" s="17" t="n">
        <f aca="false">COUNTIF(LL7:LL10,"О")</f>
        <v>0</v>
      </c>
      <c r="LM11" s="17" t="n">
        <f aca="false">COUNTIF(LM7:LM10,"О")</f>
        <v>0</v>
      </c>
      <c r="LN11" s="17" t="n">
        <f aca="false">COUNTIF(LN7:LN10,"О")</f>
        <v>0</v>
      </c>
      <c r="LO11" s="17" t="n">
        <f aca="false">COUNTIF(LO7:LO10,"О")</f>
        <v>0</v>
      </c>
      <c r="LP11" s="17" t="n">
        <f aca="false">COUNTIF(LP7:LP10,"О")</f>
        <v>0</v>
      </c>
      <c r="LQ11" s="17" t="n">
        <f aca="false">COUNTIF(LQ7:LQ10,"О")</f>
        <v>0</v>
      </c>
      <c r="LR11" s="17" t="n">
        <f aca="false">COUNTIF(LR7:LR10,"О")</f>
        <v>0</v>
      </c>
      <c r="LS11" s="17" t="n">
        <f aca="false">COUNTIF(LS7:LS10,"О")</f>
        <v>0</v>
      </c>
      <c r="LT11" s="17" t="n">
        <f aca="false">COUNTIF(LT7:LT10,"О")</f>
        <v>0</v>
      </c>
      <c r="LU11" s="17" t="n">
        <f aca="false">COUNTIF(LU7:LU10,"О")</f>
        <v>0</v>
      </c>
      <c r="LV11" s="17" t="n">
        <f aca="false">COUNTIF(LV7:LV10,"О")</f>
        <v>0</v>
      </c>
      <c r="LW11" s="17" t="n">
        <f aca="false">COUNTIF(LW7:LW10,"О")</f>
        <v>0</v>
      </c>
      <c r="LX11" s="17" t="n">
        <f aca="false">COUNTIF(LX7:LX10,"О")</f>
        <v>0</v>
      </c>
      <c r="LY11" s="17" t="n">
        <f aca="false">COUNTIF(LY7:LY10,"О")</f>
        <v>0</v>
      </c>
      <c r="LZ11" s="17" t="n">
        <f aca="false">COUNTIF(LZ7:LZ10,"О")</f>
        <v>0</v>
      </c>
      <c r="MA11" s="17" t="n">
        <f aca="false">COUNTIF(MA7:MA10,"О")</f>
        <v>0</v>
      </c>
      <c r="MB11" s="17" t="n">
        <f aca="false">COUNTIF(MB7:MB10,"О")</f>
        <v>0</v>
      </c>
      <c r="MC11" s="17" t="n">
        <f aca="false">COUNTIF(MC7:MC10,"О")</f>
        <v>0</v>
      </c>
      <c r="MD11" s="17" t="n">
        <f aca="false">COUNTIF(MD7:MD10,"О")</f>
        <v>0</v>
      </c>
      <c r="ME11" s="17" t="n">
        <f aca="false">COUNTIF(ME7:ME10,"О")</f>
        <v>0</v>
      </c>
      <c r="MF11" s="17" t="n">
        <f aca="false">COUNTIF(MF7:MF10,"О")</f>
        <v>0</v>
      </c>
      <c r="MG11" s="17" t="n">
        <f aca="false">COUNTIF(MG7:MG10,"О")</f>
        <v>0</v>
      </c>
      <c r="MH11" s="17" t="n">
        <f aca="false">COUNTIF(MH7:MH10,"О")</f>
        <v>0</v>
      </c>
      <c r="MI11" s="17" t="n">
        <f aca="false">COUNTIF(MI7:MI10,"О")</f>
        <v>0</v>
      </c>
      <c r="MJ11" s="17" t="n">
        <f aca="false">COUNTIF(MJ7:MJ10,"О")</f>
        <v>0</v>
      </c>
      <c r="MK11" s="17" t="n">
        <f aca="false">COUNTIF(MK7:MK10,"О")</f>
        <v>0</v>
      </c>
      <c r="ML11" s="17" t="n">
        <f aca="false">COUNTIF(ML7:ML10,"О")</f>
        <v>0</v>
      </c>
      <c r="MM11" s="17" t="n">
        <f aca="false">COUNTIF(MM7:MM10,"О")</f>
        <v>0</v>
      </c>
      <c r="MN11" s="17" t="n">
        <f aca="false">COUNTIF(MN7:MN10,"О")</f>
        <v>0</v>
      </c>
      <c r="MO11" s="17" t="n">
        <f aca="false">COUNTIF(MO7:MO10,"О")</f>
        <v>1</v>
      </c>
      <c r="MP11" s="17" t="n">
        <f aca="false">COUNTIF(MP7:MP10,"О")</f>
        <v>1</v>
      </c>
      <c r="MQ11" s="17" t="n">
        <f aca="false">COUNTIF(MQ7:MQ10,"О")</f>
        <v>1</v>
      </c>
      <c r="MR11" s="17" t="n">
        <f aca="false">COUNTIF(MR7:MR10,"О")</f>
        <v>1</v>
      </c>
      <c r="MS11" s="17" t="n">
        <f aca="false">COUNTIF(MS7:MS10,"О")</f>
        <v>1</v>
      </c>
      <c r="MT11" s="17" t="n">
        <f aca="false">COUNTIF(MT7:MT10,"О")</f>
        <v>1</v>
      </c>
      <c r="MU11" s="17" t="n">
        <f aca="false">COUNTIF(MU7:MU10,"О")</f>
        <v>1</v>
      </c>
      <c r="MV11" s="17" t="n">
        <f aca="false">COUNTIF(MV7:MV10,"О")</f>
        <v>1</v>
      </c>
      <c r="MW11" s="17" t="n">
        <f aca="false">COUNTIF(MW7:MW10,"О")</f>
        <v>3</v>
      </c>
      <c r="MX11" s="17" t="n">
        <f aca="false">COUNTIF(MX7:MX10,"О")</f>
        <v>3</v>
      </c>
      <c r="MY11" s="17" t="n">
        <f aca="false">COUNTIF(MY7:MY10,"О")</f>
        <v>3</v>
      </c>
      <c r="MZ11" s="17" t="n">
        <f aca="false">COUNTIF(MZ7:MZ10,"О")</f>
        <v>3</v>
      </c>
      <c r="NA11" s="17" t="n">
        <f aca="false">COUNTIF(NA7:NA10,"О")</f>
        <v>3</v>
      </c>
      <c r="NB11" s="17" t="n">
        <f aca="false">COUNTIF(NB7:NB10,"О")</f>
        <v>3</v>
      </c>
      <c r="NC11" s="17" t="n">
        <f aca="false">COUNTIF(NC7:NC10,"О")</f>
        <v>3</v>
      </c>
      <c r="ND11" s="17" t="n">
        <f aca="false">COUNTIF(ND7:ND10,"О")</f>
        <v>2</v>
      </c>
    </row>
  </sheetData>
  <mergeCells count="15">
    <mergeCell ref="A4:A6"/>
    <mergeCell ref="B4:B6"/>
    <mergeCell ref="C4:C6"/>
    <mergeCell ref="D4:AH4"/>
    <mergeCell ref="AI4:BJ4"/>
    <mergeCell ref="BK4:CO4"/>
    <mergeCell ref="CP4:DS4"/>
    <mergeCell ref="DT4:EX4"/>
    <mergeCell ref="EY4:GB4"/>
    <mergeCell ref="GC4:HG4"/>
    <mergeCell ref="HH4:IL4"/>
    <mergeCell ref="IM4:JP4"/>
    <mergeCell ref="JQ4:KU4"/>
    <mergeCell ref="KV4:LY4"/>
    <mergeCell ref="LZ4:ND4"/>
  </mergeCells>
  <conditionalFormatting sqref="D7:ND7">
    <cfRule type="expression" priority="2" aboveAverage="0" equalAverage="0" bottom="0" percent="0" rank="0" text="" dxfId="0">
      <formula>D7="О"</formula>
    </cfRule>
  </conditionalFormatting>
  <conditionalFormatting sqref="D8:ND8">
    <cfRule type="expression" priority="3" aboveAverage="0" equalAverage="0" bottom="0" percent="0" rank="0" text="" dxfId="1">
      <formula>D8="О"</formula>
    </cfRule>
  </conditionalFormatting>
  <conditionalFormatting sqref="D9:ND9">
    <cfRule type="expression" priority="4" aboveAverage="0" equalAverage="0" bottom="0" percent="0" rank="0" text="" dxfId="2">
      <formula>D9="О"</formula>
    </cfRule>
  </conditionalFormatting>
  <conditionalFormatting sqref="D10:ND10">
    <cfRule type="expression" priority="5" aboveAverage="0" equalAverage="0" bottom="0" percent="0" rank="0" text="" dxfId="3">
      <formula>D10="О"</formula>
    </cfRule>
  </conditionalFormatting>
  <conditionalFormatting sqref="D11:ND11">
    <cfRule type="expression" priority="6" aboveAverage="0" equalAverage="0" bottom="0" percent="0" rank="0" text="" dxfId="4">
      <formula>D11&gt;=3</formula>
    </cfRule>
    <cfRule type="expression" priority="7" aboveAverage="0" equalAverage="0" bottom="0" percent="0" rank="0" text="" dxfId="5">
      <formula>D11=2</formula>
    </cfRule>
    <cfRule type="expression" priority="8" aboveAverage="0" equalAverage="0" bottom="0" percent="0" rank="0" text="" dxfId="6">
      <formula>D11=1</formula>
    </cfRule>
  </conditionalFormatting>
  <conditionalFormatting sqref="D5:ND6">
    <cfRule type="expression" priority="9" aboveAverage="0" equalAverage="0" bottom="0" percent="0" rank="0" text="" dxfId="7">
      <formula>COUNTIF(Отпуска!$F$5:$F$18,D$5)&gt;0</formula>
    </cfRule>
  </conditionalFormatting>
  <conditionalFormatting sqref="D5:ND11">
    <cfRule type="expression" priority="10" aboveAverage="0" equalAverage="0" bottom="0" percent="0" rank="0" text="" dxfId="8">
      <formula>WEEKDAY(D$5,2)&gt;5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0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3"/>
    <col collapsed="false" customWidth="true" hidden="false" outlineLevel="0" max="3" min="3" style="0" width="8"/>
    <col collapsed="false" customWidth="true" hidden="false" outlineLevel="0" max="4" min="4" style="0" width="13"/>
    <col collapsed="false" customWidth="true" hidden="false" outlineLevel="0" max="5" min="5" style="0" width="4"/>
    <col collapsed="false" customWidth="true" hidden="false" outlineLevel="0" max="6" min="6" style="0" width="15"/>
  </cols>
  <sheetData>
    <row r="1" customFormat="false" ht="17.35" hidden="false" customHeight="false" outlineLevel="0" collapsed="false">
      <c r="A1" s="1" t="s">
        <v>23</v>
      </c>
    </row>
    <row r="2" customFormat="false" ht="15" hidden="false" customHeight="false" outlineLevel="0" collapsed="false">
      <c r="A2" s="2" t="s">
        <v>24</v>
      </c>
    </row>
    <row r="4" customFormat="false" ht="15" hidden="false" customHeight="false" outlineLevel="0" collapsed="false">
      <c r="A4" s="18" t="s">
        <v>2</v>
      </c>
      <c r="B4" s="18" t="s">
        <v>25</v>
      </c>
      <c r="C4" s="18" t="s">
        <v>26</v>
      </c>
      <c r="D4" s="18" t="s">
        <v>27</v>
      </c>
      <c r="F4" s="19" t="s">
        <v>28</v>
      </c>
    </row>
    <row r="5" customFormat="false" ht="15" hidden="false" customHeight="false" outlineLevel="0" collapsed="false">
      <c r="A5" s="20" t="s">
        <v>17</v>
      </c>
      <c r="B5" s="21" t="n">
        <v>46433</v>
      </c>
      <c r="C5" s="22" t="n">
        <v>11</v>
      </c>
      <c r="D5" s="23" t="n">
        <f aca="false">B5+C5-1</f>
        <v>46443</v>
      </c>
      <c r="F5" s="21" t="n">
        <v>46388</v>
      </c>
    </row>
    <row r="6" customFormat="false" ht="15" hidden="false" customHeight="false" outlineLevel="0" collapsed="false">
      <c r="A6" s="20" t="s">
        <v>17</v>
      </c>
      <c r="B6" s="21" t="n">
        <v>46511</v>
      </c>
      <c r="C6" s="22" t="n">
        <v>17</v>
      </c>
      <c r="D6" s="23" t="n">
        <f aca="false">B6+C6-1</f>
        <v>46527</v>
      </c>
      <c r="F6" s="21" t="n">
        <v>46389</v>
      </c>
    </row>
    <row r="7" customFormat="false" ht="15" hidden="false" customHeight="false" outlineLevel="0" collapsed="false">
      <c r="A7" s="20" t="s">
        <v>17</v>
      </c>
      <c r="B7" s="21" t="n">
        <v>46601</v>
      </c>
      <c r="C7" s="22" t="n">
        <v>19</v>
      </c>
      <c r="D7" s="23" t="n">
        <f aca="false">B7+C7-1</f>
        <v>46619</v>
      </c>
      <c r="F7" s="21" t="n">
        <v>46390</v>
      </c>
    </row>
    <row r="8" customFormat="false" ht="15" hidden="false" customHeight="false" outlineLevel="0" collapsed="false">
      <c r="A8" s="20" t="s">
        <v>17</v>
      </c>
      <c r="B8" s="21" t="n">
        <v>46745</v>
      </c>
      <c r="C8" s="22" t="n">
        <v>8</v>
      </c>
      <c r="D8" s="23" t="n">
        <f aca="false">B8+C8-1</f>
        <v>46752</v>
      </c>
      <c r="F8" s="21" t="n">
        <v>46391</v>
      </c>
    </row>
    <row r="9" customFormat="false" ht="15" hidden="false" customHeight="false" outlineLevel="0" collapsed="false">
      <c r="A9" s="20" t="s">
        <v>18</v>
      </c>
      <c r="B9" s="21" t="n">
        <v>46455</v>
      </c>
      <c r="C9" s="22" t="n">
        <v>13</v>
      </c>
      <c r="D9" s="23" t="n">
        <f aca="false">B9+C9-1</f>
        <v>46467</v>
      </c>
      <c r="F9" s="21" t="n">
        <v>46392</v>
      </c>
    </row>
    <row r="10" customFormat="false" ht="15" hidden="false" customHeight="false" outlineLevel="0" collapsed="false">
      <c r="A10" s="20" t="s">
        <v>18</v>
      </c>
      <c r="B10" s="21" t="n">
        <v>46538</v>
      </c>
      <c r="C10" s="22" t="n">
        <v>34</v>
      </c>
      <c r="D10" s="23" t="n">
        <f aca="false">B10+C10-1</f>
        <v>46571</v>
      </c>
      <c r="F10" s="21" t="n">
        <v>46393</v>
      </c>
    </row>
    <row r="11" customFormat="false" ht="15" hidden="false" customHeight="false" outlineLevel="0" collapsed="false">
      <c r="A11" s="20" t="s">
        <v>18</v>
      </c>
      <c r="B11" s="21" t="n">
        <v>46745</v>
      </c>
      <c r="C11" s="22" t="n">
        <v>8</v>
      </c>
      <c r="D11" s="23" t="n">
        <f aca="false">B11+C11-1</f>
        <v>46752</v>
      </c>
      <c r="F11" s="21" t="n">
        <v>46394</v>
      </c>
    </row>
    <row r="12" customFormat="false" ht="15" hidden="false" customHeight="false" outlineLevel="0" collapsed="false">
      <c r="A12" s="20" t="s">
        <v>19</v>
      </c>
      <c r="B12" s="21" t="n">
        <v>46468</v>
      </c>
      <c r="C12" s="22" t="n">
        <v>7</v>
      </c>
      <c r="D12" s="23" t="n">
        <f aca="false">B12+C12-1</f>
        <v>46474</v>
      </c>
      <c r="F12" s="21" t="n">
        <v>46395</v>
      </c>
    </row>
    <row r="13" customFormat="false" ht="15" hidden="false" customHeight="false" outlineLevel="0" collapsed="false">
      <c r="A13" s="20" t="s">
        <v>19</v>
      </c>
      <c r="B13" s="21" t="n">
        <v>46580</v>
      </c>
      <c r="C13" s="22" t="n">
        <v>33</v>
      </c>
      <c r="D13" s="23" t="n">
        <f aca="false">B13+C13-1</f>
        <v>46612</v>
      </c>
      <c r="F13" s="21" t="n">
        <v>46441</v>
      </c>
    </row>
    <row r="14" customFormat="false" ht="15" hidden="false" customHeight="false" outlineLevel="0" collapsed="false">
      <c r="A14" s="20" t="s">
        <v>19</v>
      </c>
      <c r="B14" s="21" t="n">
        <v>46737</v>
      </c>
      <c r="C14" s="22" t="n">
        <v>15</v>
      </c>
      <c r="D14" s="23" t="n">
        <f aca="false">B14+C14-1</f>
        <v>46751</v>
      </c>
      <c r="F14" s="21" t="n">
        <v>46454</v>
      </c>
    </row>
    <row r="15" customFormat="false" ht="15" hidden="false" customHeight="false" outlineLevel="0" collapsed="false">
      <c r="A15" s="20" t="s">
        <v>20</v>
      </c>
      <c r="B15" s="21" t="n">
        <v>46455</v>
      </c>
      <c r="C15" s="22" t="n">
        <v>18</v>
      </c>
      <c r="D15" s="23" t="n">
        <f aca="false">B15+C15-1</f>
        <v>46472</v>
      </c>
      <c r="F15" s="21" t="n">
        <v>46508</v>
      </c>
    </row>
    <row r="16" customFormat="false" ht="15" hidden="false" customHeight="false" outlineLevel="0" collapsed="false">
      <c r="A16" s="20" t="s">
        <v>20</v>
      </c>
      <c r="B16" s="21" t="n">
        <v>46553</v>
      </c>
      <c r="C16" s="22" t="n">
        <v>29</v>
      </c>
      <c r="D16" s="23" t="n">
        <f aca="false">B16+C16-1</f>
        <v>46581</v>
      </c>
      <c r="F16" s="21" t="n">
        <v>46516</v>
      </c>
    </row>
    <row r="17" customFormat="false" ht="15" hidden="false" customHeight="false" outlineLevel="0" collapsed="false">
      <c r="A17" s="20" t="s">
        <v>20</v>
      </c>
      <c r="B17" s="21" t="n">
        <v>46685</v>
      </c>
      <c r="C17" s="22" t="n">
        <v>10</v>
      </c>
      <c r="D17" s="23" t="n">
        <f aca="false">B17+C17-1</f>
        <v>46694</v>
      </c>
      <c r="F17" s="21" t="n">
        <v>46550</v>
      </c>
    </row>
    <row r="18" customFormat="false" ht="15" hidden="false" customHeight="false" outlineLevel="0" collapsed="false">
      <c r="F18" s="21" t="n">
        <v>46695</v>
      </c>
    </row>
    <row r="19" customFormat="false" ht="15" hidden="false" customHeight="false" outlineLevel="0" collapsed="false">
      <c r="A19" s="14" t="s">
        <v>29</v>
      </c>
    </row>
    <row r="20" customFormat="false" ht="15" hidden="false" customHeight="false" outlineLevel="0" collapsed="false">
      <c r="A20" s="24" t="s">
        <v>17</v>
      </c>
      <c r="C20" s="25" t="n">
        <f aca="false">SUMIF($A$5:$A$17,A20,$C$5:$C$17)</f>
        <v>55</v>
      </c>
      <c r="F20" s="26" t="s">
        <v>30</v>
      </c>
    </row>
    <row r="21" customFormat="false" ht="15" hidden="false" customHeight="false" outlineLevel="0" collapsed="false">
      <c r="A21" s="24" t="s">
        <v>18</v>
      </c>
      <c r="C21" s="25" t="n">
        <f aca="false">SUMIF($A$5:$A$17,A21,$C$5:$C$17)</f>
        <v>55</v>
      </c>
    </row>
    <row r="22" customFormat="false" ht="15" hidden="false" customHeight="false" outlineLevel="0" collapsed="false">
      <c r="A22" s="24" t="s">
        <v>19</v>
      </c>
      <c r="C22" s="25" t="n">
        <f aca="false">SUMIF($A$5:$A$17,A22,$C$5:$C$17)</f>
        <v>55</v>
      </c>
    </row>
    <row r="23" customFormat="false" ht="15" hidden="false" customHeight="false" outlineLevel="0" collapsed="false">
      <c r="A23" s="24" t="s">
        <v>20</v>
      </c>
      <c r="C23" s="25" t="n">
        <f aca="false">SUMIF($A$5:$A$17,A23,$C$5:$C$17)</f>
        <v>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2026-09-29T01:31:51Z</dcterms:created>
  <dc:creator>openpyxl</dc:creator>
  <dc:description/>
  <dc:language>en-US</dc:language>
  <cp:lastModifiedBy/>
  <dcterms:modified xsi:type="dcterms:W3CDTF">2026-09-29T01:31:51Z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