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<sst xmlns="http://schemas.openxmlformats.org/spreadsheetml/2006/main" count="30" uniqueCount="16">
  <si>
    <t xml:space="preserve">ID аналогов</t>
  </si>
  <si>
    <t xml:space="preserve">Материал</t>
  </si>
  <si>
    <t xml:space="preserve">Название материала</t>
  </si>
  <si>
    <t xml:space="preserve">Вид договора</t>
  </si>
  <si>
    <t xml:space="preserve">Плановая цена с ТЗР 2 пг.</t>
  </si>
  <si>
    <t xml:space="preserve">Плановое время поставки без договора</t>
  </si>
  <si>
    <t xml:space="preserve">Плановое время при наличии договора</t>
  </si>
  <si>
    <t xml:space="preserve">Выбор</t>
  </si>
  <si>
    <t xml:space="preserve">Мин. цена по договору (RAM/KON)</t>
  </si>
  <si>
    <t xml:space="preserve">РВД</t>
  </si>
  <si>
    <t xml:space="preserve">KON</t>
  </si>
  <si>
    <t xml:space="preserve">нет договора</t>
  </si>
  <si>
    <t xml:space="preserve">Название</t>
  </si>
  <si>
    <t xml:space="preserve">RAM</t>
  </si>
  <si>
    <t xml:space="preserve">Одной формулой: материал</t>
  </si>
  <si>
    <t xml:space="preserve">Одной формулой: всё вместе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</si>
</sst>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M1:W9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U9" activeCellId="0" sqref="U9"/>
    </sheetView>
  </sheetViews>
  <sheetFormatPr defaultColWidth="8.5390625" defaultRowHeight="14.25" zeroHeight="false" outlineLevelRow="0" outlineLevelCol="0"/>
  <cols>
    <col collapsed="false" customWidth="true" hidden="false" outlineLevel="0" max="13" min="13" style="1" width="11.22"/>
    <col collapsed="false" customWidth="true" hidden="false" outlineLevel="0" max="14" min="14" style="1" width="9.56"/>
    <col collapsed="false" customWidth="true" hidden="false" outlineLevel="0" max="15" min="15" style="1" width="19.22"/>
    <col collapsed="false" customWidth="true" hidden="false" outlineLevel="0" max="16" min="16" style="1" width="12.89"/>
    <col collapsed="false" customWidth="true" hidden="false" outlineLevel="0" max="17" min="17" style="1" width="23.33"/>
    <col collapsed="false" customWidth="true" hidden="false" outlineLevel="0" max="18" min="18" style="1" width="36.22"/>
    <col collapsed="false" customWidth="true" hidden="false" outlineLevel="0" max="19" min="19" style="1" width="35.89"/>
    <col collapsed="false" customWidth="true" hidden="false" outlineLevel="0" max="22" min="22" style="1" width="32"/>
    <col collapsed="false" customWidth="true" hidden="false" outlineLevel="0" max="23" min="23" style="1" width="26"/>
  </cols>
  <sheetData>
    <row r="1" customFormat="false" ht="14.25" hidden="false" customHeight="true" outlineLevel="0" collapsed="false"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2" t="s">
        <v>7</v>
      </c>
      <c r="V1" s="2" t="s">
        <v>8</v>
      </c>
      <c r="W1" s="3" t="n">
        <f aca="false" t="array" ref="W1:W1">MIN(IF(((P2:P9="RAM")+(P2:P9="KON"))&gt;0,Q2:Q9))</f>
        <v>765.36</v>
      </c>
    </row>
    <row r="2" customFormat="false" ht="14.25" hidden="false" customHeight="true" outlineLevel="0" collapsed="false">
      <c r="M2" s="1" t="n">
        <v>99008177</v>
      </c>
      <c r="N2" s="1" t="n">
        <v>147185</v>
      </c>
      <c r="O2" s="1" t="s">
        <v>9</v>
      </c>
      <c r="P2" s="1" t="s">
        <v>10</v>
      </c>
      <c r="Q2" s="1" t="n">
        <v>3772.23</v>
      </c>
      <c r="R2" s="1" t="n">
        <v>242</v>
      </c>
      <c r="S2" s="1" t="n">
        <v>158</v>
      </c>
      <c r="T2" s="1" t="str">
        <f aca="false">IF(AND(OR(P2="RAM",P2="KON"),Q2=$W$1),"Выбрать","")</f>
        <v/>
      </c>
      <c r="V2" s="2" t="s">
        <v>1</v>
      </c>
      <c r="W2" s="1" t="n">
        <f aca="false" t="array" ref="W2:W2">INDEX(N2:N9,MATCH(1,(Q2:Q9=W1)*((P2:P9="RAM")+(P2:P9="KON")),0))</f>
        <v>298733</v>
      </c>
    </row>
    <row r="3" customFormat="false" ht="14.25" hidden="false" customHeight="true" outlineLevel="0" collapsed="false">
      <c r="N3" s="1" t="n">
        <v>298654</v>
      </c>
      <c r="O3" s="1" t="s">
        <v>9</v>
      </c>
      <c r="P3" s="1" t="s">
        <v>11</v>
      </c>
      <c r="Q3" s="1" t="n">
        <v>594.94</v>
      </c>
      <c r="R3" s="1" t="n">
        <v>212</v>
      </c>
      <c r="S3" s="1" t="n">
        <v>128</v>
      </c>
      <c r="T3" s="1" t="str">
        <f aca="false">IF(AND(OR(P3="RAM",P3="KON"),Q3=$W$1),"Выбрать","")</f>
        <v/>
      </c>
      <c r="V3" s="2" t="s">
        <v>12</v>
      </c>
      <c r="W3" s="1" t="str">
        <f aca="false" t="array" ref="W3:W3">INDEX(O2:O9,MATCH(1,(Q2:Q9=W1)*((P2:P9="RAM")+(P2:P9="KON")),0))</f>
        <v>РВД</v>
      </c>
    </row>
    <row r="4" customFormat="false" ht="14.25" hidden="false" customHeight="true" outlineLevel="0" collapsed="false">
      <c r="N4" s="1" t="n">
        <v>298733</v>
      </c>
      <c r="O4" s="1" t="s">
        <v>9</v>
      </c>
      <c r="P4" s="1" t="s">
        <v>13</v>
      </c>
      <c r="Q4" s="1" t="n">
        <v>765.36</v>
      </c>
      <c r="R4" s="1" t="n">
        <v>143</v>
      </c>
      <c r="S4" s="1" t="n">
        <v>59</v>
      </c>
      <c r="T4" s="1" t="str">
        <f aca="false">IF(AND(OR(P4="RAM",P4="KON"),Q4=$W$1),"Выбрать","")</f>
        <v>Выбрать</v>
      </c>
      <c r="V4" s="2" t="s">
        <v>3</v>
      </c>
      <c r="W4" s="1" t="str">
        <f aca="false" t="array" ref="W4:W4">INDEX(P2:P9,MATCH(1,(Q2:Q9=W1)*((P2:P9="RAM")+(P2:P9="KON")),0))</f>
        <v>RAM</v>
      </c>
    </row>
    <row r="5" customFormat="false" ht="14.25" hidden="false" customHeight="true" outlineLevel="0" collapsed="false">
      <c r="N5" s="1" t="n">
        <v>508788</v>
      </c>
      <c r="O5" s="1" t="s">
        <v>9</v>
      </c>
      <c r="P5" s="1" t="s">
        <v>11</v>
      </c>
      <c r="Q5" s="1" t="n">
        <v>368.56</v>
      </c>
      <c r="R5" s="1" t="n">
        <v>202</v>
      </c>
      <c r="S5" s="1" t="n">
        <v>118</v>
      </c>
      <c r="T5" s="1" t="str">
        <f aca="false">IF(AND(OR(P5="RAM",P5="KON"),Q5=$W$1),"Выбрать","")</f>
        <v/>
      </c>
    </row>
    <row r="6" customFormat="false" ht="14.25" hidden="false" customHeight="true" outlineLevel="0" collapsed="false">
      <c r="N6" s="1" t="n">
        <v>509811</v>
      </c>
      <c r="O6" s="1" t="s">
        <v>9</v>
      </c>
      <c r="P6" s="1" t="s">
        <v>11</v>
      </c>
      <c r="Q6" s="1" t="n">
        <v>873.5</v>
      </c>
      <c r="R6" s="1" t="n">
        <v>165</v>
      </c>
      <c r="S6" s="1" t="n">
        <v>81</v>
      </c>
      <c r="T6" s="1" t="str">
        <f aca="false">IF(AND(OR(P6="RAM",P6="KON"),Q6=$W$1),"Выбрать","")</f>
        <v/>
      </c>
      <c r="V6" s="4" t="s">
        <v>14</v>
      </c>
      <c r="W6" s="1" t="n">
        <f aca="false" t="array" ref="W6:W6">INDEX(N2:N9,MATCH(MIN(IF(((P2:P9="RAM")+(P2:P9="KON")),Q2:Q9)),IF(((P2:P9="RAM")+(P2:P9="KON")),Q2:Q9),0))</f>
        <v>298733</v>
      </c>
    </row>
    <row r="7" customFormat="false" ht="14.25" hidden="false" customHeight="true" outlineLevel="0" collapsed="false">
      <c r="N7" s="1" t="n">
        <v>519150</v>
      </c>
      <c r="O7" s="1" t="s">
        <v>9</v>
      </c>
      <c r="P7" s="1" t="s">
        <v>11</v>
      </c>
      <c r="Q7" s="1" t="n">
        <v>1229.03</v>
      </c>
      <c r="R7" s="1" t="n">
        <v>202</v>
      </c>
      <c r="S7" s="1" t="n">
        <v>118</v>
      </c>
      <c r="T7" s="1" t="str">
        <f aca="false">IF(AND(OR(P7="RAM",P7="KON"),Q7=$W$1),"Выбрать","")</f>
        <v/>
      </c>
      <c r="V7" s="4" t="s">
        <v>15</v>
      </c>
      <c r="W7" s="1" t="str">
        <f aca="false" t="array" ref="W7:W7">INDEX(N2:N9,MATCH(MIN(IF(((P2:P9="RAM")+(P2:P9="KON")),Q2:Q9)),IF(((P2:P9="RAM")+(P2:P9="KON")),Q2:Q9),0))&amp;" | "&amp;INDEX(P2:P9,MATCH(MIN(IF(((P2:P9="RAM")+(P2:P9="KON")),Q2:Q9)),IF(((P2:P9="RAM")+(P2:P9="KON")),Q2:Q9),0))&amp;" | "&amp;TEXT(MIN(IF(((P2:P9="RAM")+(P2:P9="KON")),Q2:Q9)),"# ##0.00")</f>
        <v>298733 | RAM |  765.36</v>
      </c>
    </row>
    <row r="8" customFormat="false" ht="14.25" hidden="false" customHeight="true" outlineLevel="0" collapsed="false">
      <c r="N8" s="1" t="n">
        <v>526401</v>
      </c>
      <c r="O8" s="1" t="s">
        <v>9</v>
      </c>
      <c r="P8" s="1" t="s">
        <v>11</v>
      </c>
      <c r="Q8" s="1" t="n">
        <v>752.39</v>
      </c>
      <c r="R8" s="1" t="n">
        <v>212</v>
      </c>
      <c r="S8" s="1" t="n">
        <v>128</v>
      </c>
      <c r="T8" s="1" t="str">
        <f aca="false">IF(AND(OR(P8="RAM",P8="KON"),Q8=$W$1),"Выбрать","")</f>
        <v/>
      </c>
    </row>
    <row r="9" customFormat="false" ht="14.25" hidden="false" customHeight="true" outlineLevel="0" collapsed="false">
      <c r="N9" s="1" t="n">
        <v>1520422</v>
      </c>
      <c r="O9" s="1" t="s">
        <v>9</v>
      </c>
      <c r="P9" s="1" t="s">
        <v>11</v>
      </c>
      <c r="Q9" s="1" t="n">
        <v>2735.52</v>
      </c>
      <c r="R9" s="1" t="e">
        <f aca="false">#N/A</f>
        <v>#N/A</v>
      </c>
      <c r="S9" s="1" t="e">
        <f aca="false">#N/A</f>
        <v>#N/A</v>
      </c>
      <c r="T9" s="1" t="str">
        <f aca="false">IF(AND(OR(P9="RAM",P9="KON"),Q9=$W$1),"Выбрать","")</f>
        <v/>
      </c>
    </row>
  </sheetData>
  <conditionalFormatting sqref="M2:T9">
    <cfRule type="expression" priority="2" aboveAverage="0" equalAverage="0" bottom="0" percent="0" rank="0" text="" dxfId="0">
      <formula>$T2="Выбрать"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Наталья Иванова</dc:creator>
  <dc:description/>
  <dc:language>en-US</dc:language>
  <cp:lastModifiedBy>Наталья Иванова</cp:lastModifiedBy>
  <dcterms:modified xsi:type="dcterms:W3CDTF">2026-10-06T00:02:00Z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