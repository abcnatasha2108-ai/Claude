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<sst xmlns="http://schemas.openxmlformats.org/spreadsheetml/2006/main" count="40" uniqueCount="12">
  <si>
    <t xml:space="preserve">ID аналогов</t>
  </si>
  <si>
    <t xml:space="preserve">Материал</t>
  </si>
  <si>
    <t xml:space="preserve">Название материала</t>
  </si>
  <si>
    <t xml:space="preserve">Вид договора</t>
  </si>
  <si>
    <t xml:space="preserve">Плановая цена с ТЗР 2 пг.</t>
  </si>
  <si>
    <t xml:space="preserve">Плановое время поставки без договора</t>
  </si>
  <si>
    <t xml:space="preserve">Плановое время при наличии договора</t>
  </si>
  <si>
    <t xml:space="preserve">Выбор</t>
  </si>
  <si>
    <t xml:space="preserve">РВД</t>
  </si>
  <si>
    <t xml:space="preserve">KON</t>
  </si>
  <si>
    <t xml:space="preserve">нет договора</t>
  </si>
  <si>
    <t xml:space="preserve">RAM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</si>
</sst>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M1:T17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T10" activeCellId="0" sqref="T10"/>
    </sheetView>
  </sheetViews>
  <sheetFormatPr defaultColWidth="8.55859375" defaultRowHeight="14.25" zeroHeight="false" outlineLevelRow="0" outlineLevelCol="0"/>
  <cols>
    <col collapsed="false" customWidth="true" hidden="false" outlineLevel="0" max="13" min="13" style="1" width="11.22"/>
    <col collapsed="false" customWidth="true" hidden="false" outlineLevel="0" max="14" min="14" style="1" width="9.56"/>
    <col collapsed="false" customWidth="true" hidden="false" outlineLevel="0" max="15" min="15" style="1" width="19.22"/>
    <col collapsed="false" customWidth="true" hidden="false" outlineLevel="0" max="16" min="16" style="1" width="12.89"/>
    <col collapsed="false" customWidth="true" hidden="false" outlineLevel="0" max="17" min="17" style="1" width="23.33"/>
    <col collapsed="false" customWidth="true" hidden="false" outlineLevel="0" max="18" min="18" style="1" width="36.22"/>
    <col collapsed="false" customWidth="true" hidden="false" outlineLevel="0" max="19" min="19" style="1" width="35.89"/>
  </cols>
  <sheetData>
    <row r="1" customFormat="false" ht="14.25" hidden="false" customHeight="true" outlineLevel="0" collapsed="false"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2" t="s">
        <v>7</v>
      </c>
    </row>
    <row r="2" customFormat="false" ht="14.25" hidden="false" customHeight="true" outlineLevel="0" collapsed="false">
      <c r="M2" s="1" t="n">
        <v>99008177</v>
      </c>
      <c r="N2" s="1" t="n">
        <v>147185</v>
      </c>
      <c r="O2" s="1" t="s">
        <v>8</v>
      </c>
      <c r="P2" s="1" t="s">
        <v>9</v>
      </c>
      <c r="Q2" s="1" t="n">
        <v>3772.23</v>
      </c>
      <c r="R2" s="1" t="n">
        <v>242</v>
      </c>
      <c r="S2" s="1" t="n">
        <v>158</v>
      </c>
      <c r="T2" s="1" t="str">
        <f aca="false">IF(AND(OR(P2="RAM",P2="KON"),COUNTIFS($M$2:$M$1000,M2,$P$2:$P$1000,"RAM",$Q$2:$Q$1000,"&lt;"&amp;Q2)+COUNTIFS($M$1:M1,M2,$P$1:P1,"RAM",$Q$1:Q1,Q2)+COUNTIFS($M$2:$M$1000,M2,$P$2:$P$1000,"KON",$Q$2:$Q$1000,"&lt;"&amp;Q2)+COUNTIFS($M$1:M1,M2,$P$1:P1,"KON",$Q$1:Q1,Q2)=0),"Выбрать","")</f>
        <v/>
      </c>
    </row>
    <row r="3" customFormat="false" ht="14.25" hidden="false" customHeight="true" outlineLevel="0" collapsed="false">
      <c r="M3" s="1" t="n">
        <v>99008177</v>
      </c>
      <c r="N3" s="1" t="n">
        <v>298654</v>
      </c>
      <c r="O3" s="1" t="s">
        <v>8</v>
      </c>
      <c r="P3" s="1" t="s">
        <v>10</v>
      </c>
      <c r="Q3" s="1" t="n">
        <v>594.94</v>
      </c>
      <c r="R3" s="1" t="n">
        <v>212</v>
      </c>
      <c r="S3" s="1" t="n">
        <v>128</v>
      </c>
      <c r="T3" s="1" t="str">
        <f aca="false">IF(AND(OR(P3="RAM",P3="KON"),COUNTIFS($M$2:$M$1000,M3,$P$2:$P$1000,"RAM",$Q$2:$Q$1000,"&lt;"&amp;Q3)+COUNTIFS($M$1:M2,M3,$P$1:P2,"RAM",$Q$1:Q2,Q3)+COUNTIFS($M$2:$M$1000,M3,$P$2:$P$1000,"KON",$Q$2:$Q$1000,"&lt;"&amp;Q3)+COUNTIFS($M$1:M2,M3,$P$1:P2,"KON",$Q$1:Q2,Q3)=0),"Выбрать","")</f>
        <v/>
      </c>
    </row>
    <row r="4" customFormat="false" ht="14.25" hidden="false" customHeight="true" outlineLevel="0" collapsed="false">
      <c r="M4" s="1" t="n">
        <v>99008177</v>
      </c>
      <c r="N4" s="1" t="n">
        <v>298733</v>
      </c>
      <c r="O4" s="1" t="s">
        <v>8</v>
      </c>
      <c r="P4" s="1" t="s">
        <v>11</v>
      </c>
      <c r="Q4" s="1" t="n">
        <v>765.36</v>
      </c>
      <c r="R4" s="1" t="n">
        <v>143</v>
      </c>
      <c r="S4" s="1" t="n">
        <v>59</v>
      </c>
      <c r="T4" s="1" t="str">
        <f aca="false">IF(AND(OR(P4="RAM",P4="KON"),COUNTIFS($M$2:$M$1000,M4,$P$2:$P$1000,"RAM",$Q$2:$Q$1000,"&lt;"&amp;Q4)+COUNTIFS($M$1:M3,M4,$P$1:P3,"RAM",$Q$1:Q3,Q4)+COUNTIFS($M$2:$M$1000,M4,$P$2:$P$1000,"KON",$Q$2:$Q$1000,"&lt;"&amp;Q4)+COUNTIFS($M$1:M3,M4,$P$1:P3,"KON",$Q$1:Q3,Q4)=0),"Выбрать","")</f>
        <v>Выбрать</v>
      </c>
    </row>
    <row r="5" customFormat="false" ht="14.25" hidden="false" customHeight="true" outlineLevel="0" collapsed="false">
      <c r="M5" s="1" t="n">
        <v>99008177</v>
      </c>
      <c r="N5" s="1" t="n">
        <v>508788</v>
      </c>
      <c r="O5" s="1" t="s">
        <v>8</v>
      </c>
      <c r="P5" s="1" t="s">
        <v>10</v>
      </c>
      <c r="Q5" s="1" t="n">
        <v>368.56</v>
      </c>
      <c r="R5" s="1" t="n">
        <v>202</v>
      </c>
      <c r="S5" s="1" t="n">
        <v>118</v>
      </c>
      <c r="T5" s="1" t="str">
        <f aca="false">IF(AND(OR(P5="RAM",P5="KON"),COUNTIFS($M$2:$M$1000,M5,$P$2:$P$1000,"RAM",$Q$2:$Q$1000,"&lt;"&amp;Q5)+COUNTIFS($M$1:M4,M5,$P$1:P4,"RAM",$Q$1:Q4,Q5)+COUNTIFS($M$2:$M$1000,M5,$P$2:$P$1000,"KON",$Q$2:$Q$1000,"&lt;"&amp;Q5)+COUNTIFS($M$1:M4,M5,$P$1:P4,"KON",$Q$1:Q4,Q5)=0),"Выбрать","")</f>
        <v/>
      </c>
    </row>
    <row r="6" customFormat="false" ht="14.25" hidden="false" customHeight="true" outlineLevel="0" collapsed="false">
      <c r="M6" s="1" t="n">
        <v>99008177</v>
      </c>
      <c r="N6" s="1" t="n">
        <v>509811</v>
      </c>
      <c r="O6" s="1" t="s">
        <v>8</v>
      </c>
      <c r="P6" s="1" t="s">
        <v>10</v>
      </c>
      <c r="Q6" s="1" t="n">
        <v>873.5</v>
      </c>
      <c r="R6" s="1" t="n">
        <v>165</v>
      </c>
      <c r="S6" s="1" t="n">
        <v>81</v>
      </c>
      <c r="T6" s="1" t="str">
        <f aca="false">IF(AND(OR(P6="RAM",P6="KON"),COUNTIFS($M$2:$M$1000,M6,$P$2:$P$1000,"RAM",$Q$2:$Q$1000,"&lt;"&amp;Q6)+COUNTIFS($M$1:M5,M6,$P$1:P5,"RAM",$Q$1:Q5,Q6)+COUNTIFS($M$2:$M$1000,M6,$P$2:$P$1000,"KON",$Q$2:$Q$1000,"&lt;"&amp;Q6)+COUNTIFS($M$1:M5,M6,$P$1:P5,"KON",$Q$1:Q5,Q6)=0),"Выбрать","")</f>
        <v/>
      </c>
    </row>
    <row r="7" customFormat="false" ht="14.25" hidden="false" customHeight="true" outlineLevel="0" collapsed="false">
      <c r="M7" s="1" t="n">
        <v>99008177</v>
      </c>
      <c r="N7" s="1" t="n">
        <v>519150</v>
      </c>
      <c r="O7" s="1" t="s">
        <v>8</v>
      </c>
      <c r="P7" s="1" t="s">
        <v>10</v>
      </c>
      <c r="Q7" s="1" t="n">
        <v>1229.03</v>
      </c>
      <c r="R7" s="1" t="n">
        <v>202</v>
      </c>
      <c r="S7" s="1" t="n">
        <v>118</v>
      </c>
      <c r="T7" s="1" t="str">
        <f aca="false">IF(AND(OR(P7="RAM",P7="KON"),COUNTIFS($M$2:$M$1000,M7,$P$2:$P$1000,"RAM",$Q$2:$Q$1000,"&lt;"&amp;Q7)+COUNTIFS($M$1:M6,M7,$P$1:P6,"RAM",$Q$1:Q6,Q7)+COUNTIFS($M$2:$M$1000,M7,$P$2:$P$1000,"KON",$Q$2:$Q$1000,"&lt;"&amp;Q7)+COUNTIFS($M$1:M6,M7,$P$1:P6,"KON",$Q$1:Q6,Q7)=0),"Выбрать","")</f>
        <v/>
      </c>
    </row>
    <row r="8" customFormat="false" ht="14.25" hidden="false" customHeight="true" outlineLevel="0" collapsed="false">
      <c r="M8" s="1" t="n">
        <v>99008177</v>
      </c>
      <c r="N8" s="1" t="n">
        <v>526401</v>
      </c>
      <c r="O8" s="1" t="s">
        <v>8</v>
      </c>
      <c r="P8" s="1" t="s">
        <v>10</v>
      </c>
      <c r="Q8" s="1" t="n">
        <v>752.39</v>
      </c>
      <c r="R8" s="1" t="n">
        <v>212</v>
      </c>
      <c r="S8" s="1" t="n">
        <v>128</v>
      </c>
      <c r="T8" s="1" t="str">
        <f aca="false">IF(AND(OR(P8="RAM",P8="KON"),COUNTIFS($M$2:$M$1000,M8,$P$2:$P$1000,"RAM",$Q$2:$Q$1000,"&lt;"&amp;Q8)+COUNTIFS($M$1:M7,M8,$P$1:P7,"RAM",$Q$1:Q7,Q8)+COUNTIFS($M$2:$M$1000,M8,$P$2:$P$1000,"KON",$Q$2:$Q$1000,"&lt;"&amp;Q8)+COUNTIFS($M$1:M7,M8,$P$1:P7,"KON",$Q$1:Q7,Q8)=0),"Выбрать","")</f>
        <v/>
      </c>
    </row>
    <row r="9" customFormat="false" ht="14.25" hidden="false" customHeight="true" outlineLevel="0" collapsed="false">
      <c r="M9" s="1" t="n">
        <v>99008177</v>
      </c>
      <c r="N9" s="1" t="n">
        <v>1520422</v>
      </c>
      <c r="O9" s="1" t="s">
        <v>8</v>
      </c>
      <c r="P9" s="1" t="s">
        <v>10</v>
      </c>
      <c r="Q9" s="1" t="n">
        <v>2735.52</v>
      </c>
      <c r="R9" s="1" t="e">
        <f aca="false">#N/A</f>
        <v>#N/A</v>
      </c>
      <c r="S9" s="1" t="e">
        <f aca="false">#N/A</f>
        <v>#N/A</v>
      </c>
      <c r="T9" s="1" t="str">
        <f aca="false">IF(AND(OR(P9="RAM",P9="KON"),COUNTIFS($M$2:$M$1000,M9,$P$2:$P$1000,"RAM",$Q$2:$Q$1000,"&lt;"&amp;Q9)+COUNTIFS($M$1:M8,M9,$P$1:P8,"RAM",$Q$1:Q8,Q9)+COUNTIFS($M$2:$M$1000,M9,$P$2:$P$1000,"KON",$Q$2:$Q$1000,"&lt;"&amp;Q9)+COUNTIFS($M$1:M8,M9,$P$1:P8,"KON",$Q$1:Q8,Q9)=0),"Выбрать","")</f>
        <v/>
      </c>
    </row>
    <row r="10" customFormat="false" ht="14.25" hidden="false" customHeight="true" outlineLevel="0" collapsed="false">
      <c r="M10" s="1" t="n">
        <v>99008188</v>
      </c>
      <c r="N10" s="1" t="n">
        <v>254877</v>
      </c>
      <c r="O10" s="1" t="s">
        <v>8</v>
      </c>
      <c r="P10" s="1" t="s">
        <v>9</v>
      </c>
      <c r="Q10" s="1" t="n">
        <v>3772.23</v>
      </c>
      <c r="R10" s="1" t="n">
        <v>242</v>
      </c>
      <c r="S10" s="1" t="n">
        <v>158</v>
      </c>
      <c r="T10" s="1" t="str">
        <f aca="false">IF(AND(OR(P10="RAM",P10="KON"),COUNTIFS($M$2:$M$1000,M10,$P$2:$P$1000,"RAM",$Q$2:$Q$1000,"&lt;"&amp;Q10)+COUNTIFS($M$1:M9,M10,$P$1:P9,"RAM",$Q$1:Q9,Q10)+COUNTIFS($M$2:$M$1000,M10,$P$2:$P$1000,"KON",$Q$2:$Q$1000,"&lt;"&amp;Q10)+COUNTIFS($M$1:M9,M10,$P$1:P9,"KON",$Q$1:Q9,Q10)=0),"Выбрать","")</f>
        <v/>
      </c>
    </row>
    <row r="11" customFormat="false" ht="14.25" hidden="false" customHeight="true" outlineLevel="0" collapsed="false">
      <c r="M11" s="1" t="n">
        <v>99008188</v>
      </c>
      <c r="N11" s="1" t="n">
        <v>1487522</v>
      </c>
      <c r="O11" s="1" t="s">
        <v>8</v>
      </c>
      <c r="P11" s="1" t="s">
        <v>10</v>
      </c>
      <c r="Q11" s="1" t="n">
        <v>594.94</v>
      </c>
      <c r="R11" s="1" t="n">
        <v>212</v>
      </c>
      <c r="S11" s="1" t="n">
        <v>128</v>
      </c>
      <c r="T11" s="1" t="str">
        <f aca="false">IF(AND(OR(P11="RAM",P11="KON"),COUNTIFS($M$2:$M$1000,M11,$P$2:$P$1000,"RAM",$Q$2:$Q$1000,"&lt;"&amp;Q11)+COUNTIFS($M$1:M10,M11,$P$1:P10,"RAM",$Q$1:Q10,Q11)+COUNTIFS($M$2:$M$1000,M11,$P$2:$P$1000,"KON",$Q$2:$Q$1000,"&lt;"&amp;Q11)+COUNTIFS($M$1:M10,M11,$P$1:P10,"KON",$Q$1:Q10,Q11)=0),"Выбрать","")</f>
        <v/>
      </c>
    </row>
    <row r="12" customFormat="false" ht="14.25" hidden="false" customHeight="true" outlineLevel="0" collapsed="false">
      <c r="M12" s="1" t="n">
        <v>99008188</v>
      </c>
      <c r="N12" s="1" t="n">
        <v>145211</v>
      </c>
      <c r="O12" s="1" t="s">
        <v>8</v>
      </c>
      <c r="P12" s="1" t="s">
        <v>11</v>
      </c>
      <c r="Q12" s="1" t="n">
        <v>1565.36</v>
      </c>
      <c r="R12" s="1" t="n">
        <v>143</v>
      </c>
      <c r="S12" s="1" t="n">
        <v>59</v>
      </c>
      <c r="T12" s="1" t="str">
        <f aca="false">IF(AND(OR(P12="RAM",P12="KON"),COUNTIFS($M$2:$M$1000,M12,$P$2:$P$1000,"RAM",$Q$2:$Q$1000,"&lt;"&amp;Q12)+COUNTIFS($M$1:M11,M12,$P$1:P11,"RAM",$Q$1:Q11,Q12)+COUNTIFS($M$2:$M$1000,M12,$P$2:$P$1000,"KON",$Q$2:$Q$1000,"&lt;"&amp;Q12)+COUNTIFS($M$1:M11,M12,$P$1:P11,"KON",$Q$1:Q11,Q12)=0),"Выбрать","")</f>
        <v>Выбрать</v>
      </c>
    </row>
    <row r="13" customFormat="false" ht="14.25" hidden="false" customHeight="true" outlineLevel="0" collapsed="false">
      <c r="M13" s="1" t="n">
        <v>99008188</v>
      </c>
      <c r="N13" s="1" t="n">
        <v>1177852</v>
      </c>
      <c r="O13" s="1" t="s">
        <v>8</v>
      </c>
      <c r="P13" s="1" t="s">
        <v>10</v>
      </c>
      <c r="Q13" s="1" t="n">
        <v>368.56</v>
      </c>
      <c r="R13" s="1" t="n">
        <v>202</v>
      </c>
      <c r="S13" s="1" t="n">
        <v>118</v>
      </c>
      <c r="T13" s="1" t="str">
        <f aca="false">IF(AND(OR(P13="RAM",P13="KON"),COUNTIFS($M$2:$M$1000,M13,$P$2:$P$1000,"RAM",$Q$2:$Q$1000,"&lt;"&amp;Q13)+COUNTIFS($M$1:M12,M13,$P$1:P12,"RAM",$Q$1:Q12,Q13)+COUNTIFS($M$2:$M$1000,M13,$P$2:$P$1000,"KON",$Q$2:$Q$1000,"&lt;"&amp;Q13)+COUNTIFS($M$1:M12,M13,$P$1:P12,"KON",$Q$1:Q12,Q13)=0),"Выбрать","")</f>
        <v/>
      </c>
    </row>
    <row r="14" customFormat="false" ht="14.25" hidden="false" customHeight="true" outlineLevel="0" collapsed="false">
      <c r="M14" s="1" t="n">
        <v>99008188</v>
      </c>
      <c r="N14" s="1" t="n">
        <v>445221</v>
      </c>
      <c r="O14" s="1" t="s">
        <v>8</v>
      </c>
      <c r="P14" s="1" t="s">
        <v>10</v>
      </c>
      <c r="Q14" s="1" t="n">
        <v>873.5</v>
      </c>
      <c r="R14" s="1" t="n">
        <v>165</v>
      </c>
      <c r="S14" s="1" t="n">
        <v>81</v>
      </c>
      <c r="T14" s="1" t="str">
        <f aca="false">IF(AND(OR(P14="RAM",P14="KON"),COUNTIFS($M$2:$M$1000,M14,$P$2:$P$1000,"RAM",$Q$2:$Q$1000,"&lt;"&amp;Q14)+COUNTIFS($M$1:M13,M14,$P$1:P13,"RAM",$Q$1:Q13,Q14)+COUNTIFS($M$2:$M$1000,M14,$P$2:$P$1000,"KON",$Q$2:$Q$1000,"&lt;"&amp;Q14)+COUNTIFS($M$1:M13,M14,$P$1:P13,"KON",$Q$1:Q13,Q14)=0),"Выбрать","")</f>
        <v/>
      </c>
    </row>
    <row r="15" customFormat="false" ht="14.25" hidden="false" customHeight="true" outlineLevel="0" collapsed="false">
      <c r="M15" s="1" t="n">
        <v>99008188</v>
      </c>
      <c r="N15" s="1" t="n">
        <v>441155</v>
      </c>
      <c r="O15" s="1" t="s">
        <v>8</v>
      </c>
      <c r="P15" s="1" t="s">
        <v>10</v>
      </c>
      <c r="Q15" s="1" t="n">
        <v>1229.03</v>
      </c>
      <c r="R15" s="1" t="n">
        <v>202</v>
      </c>
      <c r="S15" s="1" t="n">
        <v>118</v>
      </c>
      <c r="T15" s="1" t="str">
        <f aca="false">IF(AND(OR(P15="RAM",P15="KON"),COUNTIFS($M$2:$M$1000,M15,$P$2:$P$1000,"RAM",$Q$2:$Q$1000,"&lt;"&amp;Q15)+COUNTIFS($M$1:M14,M15,$P$1:P14,"RAM",$Q$1:Q14,Q15)+COUNTIFS($M$2:$M$1000,M15,$P$2:$P$1000,"KON",$Q$2:$Q$1000,"&lt;"&amp;Q15)+COUNTIFS($M$1:M14,M15,$P$1:P14,"KON",$Q$1:Q14,Q15)=0),"Выбрать","")</f>
        <v/>
      </c>
    </row>
    <row r="16" customFormat="false" ht="14.25" hidden="false" customHeight="true" outlineLevel="0" collapsed="false">
      <c r="M16" s="1" t="n">
        <v>99008188</v>
      </c>
      <c r="N16" s="1" t="n">
        <v>155221</v>
      </c>
      <c r="O16" s="1" t="s">
        <v>8</v>
      </c>
      <c r="P16" s="1" t="s">
        <v>10</v>
      </c>
      <c r="Q16" s="1" t="n">
        <v>752.39</v>
      </c>
      <c r="R16" s="1" t="n">
        <v>212</v>
      </c>
      <c r="S16" s="1" t="n">
        <v>128</v>
      </c>
      <c r="T16" s="1" t="str">
        <f aca="false">IF(AND(OR(P16="RAM",P16="KON"),COUNTIFS($M$2:$M$1000,M16,$P$2:$P$1000,"RAM",$Q$2:$Q$1000,"&lt;"&amp;Q16)+COUNTIFS($M$1:M15,M16,$P$1:P15,"RAM",$Q$1:Q15,Q16)+COUNTIFS($M$2:$M$1000,M16,$P$2:$P$1000,"KON",$Q$2:$Q$1000,"&lt;"&amp;Q16)+COUNTIFS($M$1:M15,M16,$P$1:P15,"KON",$Q$1:Q15,Q16)=0),"Выбрать","")</f>
        <v/>
      </c>
    </row>
    <row r="17" customFormat="false" ht="14.25" hidden="false" customHeight="true" outlineLevel="0" collapsed="false">
      <c r="M17" s="1" t="n">
        <v>99008188</v>
      </c>
      <c r="N17" s="1" t="n">
        <v>5444445</v>
      </c>
      <c r="O17" s="1" t="s">
        <v>8</v>
      </c>
      <c r="P17" s="1" t="s">
        <v>10</v>
      </c>
      <c r="Q17" s="1" t="n">
        <v>2735.52</v>
      </c>
      <c r="R17" s="1" t="e">
        <f aca="false">#N/A</f>
        <v>#N/A</v>
      </c>
      <c r="S17" s="1" t="e">
        <f aca="false">#N/A</f>
        <v>#N/A</v>
      </c>
      <c r="T17" s="1" t="str">
        <f aca="false">IF(AND(OR(P17="RAM",P17="KON"),COUNTIFS($M$2:$M$1000,M17,$P$2:$P$1000,"RAM",$Q$2:$Q$1000,"&lt;"&amp;Q17)+COUNTIFS($M$1:M16,M17,$P$1:P16,"RAM",$Q$1:Q16,Q17)+COUNTIFS($M$2:$M$1000,M17,$P$2:$P$1000,"KON",$Q$2:$Q$1000,"&lt;"&amp;Q17)+COUNTIFS($M$1:M16,M17,$P$1:P16,"KON",$Q$1:Q16,Q17)=0),"Выбрать","")</f>
        <v/>
      </c>
    </row>
  </sheetData>
  <conditionalFormatting sqref="M10:S17">
    <cfRule type="expression" priority="2" aboveAverage="0" equalAverage="0" bottom="0" percent="0" rank="0" text="" dxfId="0">
      <formula>$T10="Выбрать"</formula>
    </cfRule>
  </conditionalFormatting>
  <conditionalFormatting sqref="M2:T4 M5:S9 T5:T17">
    <cfRule type="expression" priority="3" aboveAverage="0" equalAverage="0" bottom="0" percent="0" rank="0" text="" dxfId="0">
      <formula>$T2="Выбрать"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Наталья Иванова</dc:creator>
  <dc:description/>
  <dc:language>en-US</dc:language>
  <cp:lastModifiedBy>Наталья Иванова</cp:lastModifiedBy>
  <dcterms:modified xsi:type="dcterms:W3CDTF">2026-10-06T01:17:31Z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