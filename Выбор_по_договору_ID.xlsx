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<sst xmlns="http://schemas.openxmlformats.org/spreadsheetml/2006/main" count="40" uniqueCount="12">
  <si>
    <t xml:space="preserve">ID аналогов</t>
  </si>
  <si>
    <t xml:space="preserve">Материал</t>
  </si>
  <si>
    <t xml:space="preserve">Название материала</t>
  </si>
  <si>
    <t xml:space="preserve">Вид договора</t>
  </si>
  <si>
    <t xml:space="preserve">Плановая цена с ТЗР 2 пг.</t>
  </si>
  <si>
    <t xml:space="preserve">Плановое время поставки без договора</t>
  </si>
  <si>
    <t xml:space="preserve">Плановое время при наличии договора</t>
  </si>
  <si>
    <t xml:space="preserve">Выбор</t>
  </si>
  <si>
    <t xml:space="preserve">РВД</t>
  </si>
  <si>
    <t xml:space="preserve">KON</t>
  </si>
  <si>
    <t xml:space="preserve">нет договора</t>
  </si>
  <si>
    <t xml:space="preserve">RAM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</si>
</sst>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M1:T17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T10" activeCellId="0" sqref="T10"/>
    </sheetView>
  </sheetViews>
  <sheetFormatPr defaultColWidth="8.55859375" defaultRowHeight="14.25" zeroHeight="false" outlineLevelRow="0" outlineLevelCol="0"/>
  <cols>
    <col collapsed="false" customWidth="true" hidden="false" outlineLevel="0" max="13" min="13" style="1" width="11.22"/>
    <col collapsed="false" customWidth="true" hidden="false" outlineLevel="0" max="14" min="14" style="1" width="9.56"/>
    <col collapsed="false" customWidth="true" hidden="false" outlineLevel="0" max="15" min="15" style="1" width="19.22"/>
    <col collapsed="false" customWidth="true" hidden="false" outlineLevel="0" max="16" min="16" style="1" width="12.89"/>
    <col collapsed="false" customWidth="true" hidden="false" outlineLevel="0" max="17" min="17" style="1" width="23.33"/>
    <col collapsed="false" customWidth="true" hidden="false" outlineLevel="0" max="18" min="18" style="1" width="36.22"/>
    <col collapsed="false" customWidth="true" hidden="false" outlineLevel="0" max="19" min="19" style="1" width="35.89"/>
  </cols>
  <sheetData>
    <row r="1" customFormat="false" ht="14.25" hidden="false" customHeight="true" outlineLevel="0" collapsed="false"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2" t="s">
        <v>7</v>
      </c>
    </row>
    <row r="2" customFormat="false" ht="14.25" hidden="false" customHeight="true" outlineLevel="0" collapsed="false">
      <c r="M2" s="1" t="n">
        <v>99008177</v>
      </c>
      <c r="N2" s="1" t="n">
        <v>147185</v>
      </c>
      <c r="O2" s="1" t="s">
        <v>8</v>
      </c>
      <c r="P2" s="1" t="s">
        <v>9</v>
      </c>
      <c r="Q2" s="1" t="n">
        <v>3772.23</v>
      </c>
      <c r="R2" s="1" t="n">
        <v>242</v>
      </c>
      <c r="S2" s="1" t="n">
        <v>158</v>
      </c>
      <c r="T2" s="1" t="str">
        <f aca="false">IF(AND(OR(P2="RAM",P2="KON"),SUMPRODUCT((ROW($P$2:$P$1000)&gt;=(IFERROR(LOOKUP(2,1/(($M$1:M1&lt;&gt;"")*($M$1:M1&lt;&gt;LOOKUP(2,1/($M$2:M2&lt;&gt;""),$M$2:M2))),ROW($M$1:M1)),1)+MATCH(LOOKUP(2,1/($M$2:M2&lt;&gt;""),$M$2:M2),INDEX($M:$M,IFERROR(LOOKUP(2,1/(($M$1:M1&lt;&gt;"")*($M$1:M1&lt;&gt;LOOKUP(2,1/($M$2:M2&lt;&gt;""),$M$2:M2))),ROW($M$1:M1)),1)+1):M2,0)))*(ROW($P$2:$P$1000)&lt;=IFERROR(MATCH(1,INDEX((M3:$M$1001&lt;&gt;"")*(M3:$M$1001&lt;&gt;LOOKUP(2,1/($M$2:M2&lt;&gt;""),$M$2:M2)),0),0)+ROW()-1,1000))*(($P$2:$P$1000="RAM")+($P$2:$P$1000="KON"))*(($Q$2:$Q$1000&lt;Q2)+($Q$2:$Q$1000=Q2)*(ROW($Q$2:$Q$1000)&lt;ROW())))=0),"Выбрать","")</f>
        <v/>
      </c>
    </row>
    <row r="3" customFormat="false" ht="14.25" hidden="false" customHeight="true" outlineLevel="0" collapsed="false">
      <c r="N3" s="1" t="n">
        <v>298654</v>
      </c>
      <c r="O3" s="1" t="s">
        <v>8</v>
      </c>
      <c r="P3" s="1" t="s">
        <v>10</v>
      </c>
      <c r="Q3" s="1" t="n">
        <v>594.94</v>
      </c>
      <c r="R3" s="1" t="n">
        <v>212</v>
      </c>
      <c r="S3" s="1" t="n">
        <v>128</v>
      </c>
      <c r="T3" s="1" t="str">
        <f aca="false">IF(AND(OR(P3="RAM",P3="KON"),SUMPRODUCT((ROW($P$2:$P$1000)&gt;=(IFERROR(LOOKUP(2,1/(($M$1:M2&lt;&gt;"")*($M$1:M2&lt;&gt;LOOKUP(2,1/($M$2:M3&lt;&gt;""),$M$2:M3))),ROW($M$1:M2)),1)+MATCH(LOOKUP(2,1/($M$2:M3&lt;&gt;""),$M$2:M3),INDEX($M:$M,IFERROR(LOOKUP(2,1/(($M$1:M2&lt;&gt;"")*($M$1:M2&lt;&gt;LOOKUP(2,1/($M$2:M3&lt;&gt;""),$M$2:M3))),ROW($M$1:M2)),1)+1):M3,0)))*(ROW($P$2:$P$1000)&lt;=IFERROR(MATCH(1,INDEX((M4:$M$1001&lt;&gt;"")*(M4:$M$1001&lt;&gt;LOOKUP(2,1/($M$2:M3&lt;&gt;""),$M$2:M3)),0),0)+ROW()-1,1000))*(($P$2:$P$1000="RAM")+($P$2:$P$1000="KON"))*(($Q$2:$Q$1000&lt;Q3)+($Q$2:$Q$1000=Q3)*(ROW($Q$2:$Q$1000)&lt;ROW())))=0),"Выбрать","")</f>
        <v/>
      </c>
    </row>
    <row r="4" customFormat="false" ht="14.25" hidden="false" customHeight="true" outlineLevel="0" collapsed="false">
      <c r="N4" s="1" t="n">
        <v>298733</v>
      </c>
      <c r="O4" s="1" t="s">
        <v>8</v>
      </c>
      <c r="P4" s="1" t="s">
        <v>11</v>
      </c>
      <c r="Q4" s="1" t="n">
        <v>765.36</v>
      </c>
      <c r="R4" s="1" t="n">
        <v>143</v>
      </c>
      <c r="S4" s="1" t="n">
        <v>59</v>
      </c>
      <c r="T4" s="1" t="str">
        <f aca="false">IF(AND(OR(P4="RAM",P4="KON"),SUMPRODUCT((ROW($P$2:$P$1000)&gt;=(IFERROR(LOOKUP(2,1/(($M$1:M3&lt;&gt;"")*($M$1:M3&lt;&gt;LOOKUP(2,1/($M$2:M4&lt;&gt;""),$M$2:M4))),ROW($M$1:M3)),1)+MATCH(LOOKUP(2,1/($M$2:M4&lt;&gt;""),$M$2:M4),INDEX($M:$M,IFERROR(LOOKUP(2,1/(($M$1:M3&lt;&gt;"")*($M$1:M3&lt;&gt;LOOKUP(2,1/($M$2:M4&lt;&gt;""),$M$2:M4))),ROW($M$1:M3)),1)+1):M4,0)))*(ROW($P$2:$P$1000)&lt;=IFERROR(MATCH(1,INDEX((M5:$M$1001&lt;&gt;"")*(M5:$M$1001&lt;&gt;LOOKUP(2,1/($M$2:M4&lt;&gt;""),$M$2:M4)),0),0)+ROW()-1,1000))*(($P$2:$P$1000="RAM")+($P$2:$P$1000="KON"))*(($Q$2:$Q$1000&lt;Q4)+($Q$2:$Q$1000=Q4)*(ROW($Q$2:$Q$1000)&lt;ROW())))=0),"Выбрать","")</f>
        <v>Выбрать</v>
      </c>
    </row>
    <row r="5" customFormat="false" ht="14.25" hidden="false" customHeight="true" outlineLevel="0" collapsed="false">
      <c r="N5" s="1" t="n">
        <v>508788</v>
      </c>
      <c r="O5" s="1" t="s">
        <v>8</v>
      </c>
      <c r="P5" s="1" t="s">
        <v>10</v>
      </c>
      <c r="Q5" s="1" t="n">
        <v>368.56</v>
      </c>
      <c r="R5" s="1" t="n">
        <v>202</v>
      </c>
      <c r="S5" s="1" t="n">
        <v>118</v>
      </c>
      <c r="T5" s="1" t="str">
        <f aca="false">IF(AND(OR(P5="RAM",P5="KON"),SUMPRODUCT((ROW($P$2:$P$1000)&gt;=(IFERROR(LOOKUP(2,1/(($M$1:M4&lt;&gt;"")*($M$1:M4&lt;&gt;LOOKUP(2,1/($M$2:M5&lt;&gt;""),$M$2:M5))),ROW($M$1:M4)),1)+MATCH(LOOKUP(2,1/($M$2:M5&lt;&gt;""),$M$2:M5),INDEX($M:$M,IFERROR(LOOKUP(2,1/(($M$1:M4&lt;&gt;"")*($M$1:M4&lt;&gt;LOOKUP(2,1/($M$2:M5&lt;&gt;""),$M$2:M5))),ROW($M$1:M4)),1)+1):M5,0)))*(ROW($P$2:$P$1000)&lt;=IFERROR(MATCH(1,INDEX((M6:$M$1001&lt;&gt;"")*(M6:$M$1001&lt;&gt;LOOKUP(2,1/($M$2:M5&lt;&gt;""),$M$2:M5)),0),0)+ROW()-1,1000))*(($P$2:$P$1000="RAM")+($P$2:$P$1000="KON"))*(($Q$2:$Q$1000&lt;Q5)+($Q$2:$Q$1000=Q5)*(ROW($Q$2:$Q$1000)&lt;ROW())))=0),"Выбрать","")</f>
        <v/>
      </c>
    </row>
    <row r="6" customFormat="false" ht="14.25" hidden="false" customHeight="true" outlineLevel="0" collapsed="false">
      <c r="N6" s="1" t="n">
        <v>509811</v>
      </c>
      <c r="O6" s="1" t="s">
        <v>8</v>
      </c>
      <c r="P6" s="1" t="s">
        <v>10</v>
      </c>
      <c r="Q6" s="1" t="n">
        <v>873.5</v>
      </c>
      <c r="R6" s="1" t="n">
        <v>165</v>
      </c>
      <c r="S6" s="1" t="n">
        <v>81</v>
      </c>
      <c r="T6" s="1" t="str">
        <f aca="false">IF(AND(OR(P6="RAM",P6="KON"),SUMPRODUCT((ROW($P$2:$P$1000)&gt;=(IFERROR(LOOKUP(2,1/(($M$1:M5&lt;&gt;"")*($M$1:M5&lt;&gt;LOOKUP(2,1/($M$2:M6&lt;&gt;""),$M$2:M6))),ROW($M$1:M5)),1)+MATCH(LOOKUP(2,1/($M$2:M6&lt;&gt;""),$M$2:M6),INDEX($M:$M,IFERROR(LOOKUP(2,1/(($M$1:M5&lt;&gt;"")*($M$1:M5&lt;&gt;LOOKUP(2,1/($M$2:M6&lt;&gt;""),$M$2:M6))),ROW($M$1:M5)),1)+1):M6,0)))*(ROW($P$2:$P$1000)&lt;=IFERROR(MATCH(1,INDEX((M7:$M$1001&lt;&gt;"")*(M7:$M$1001&lt;&gt;LOOKUP(2,1/($M$2:M6&lt;&gt;""),$M$2:M6)),0),0)+ROW()-1,1000))*(($P$2:$P$1000="RAM")+($P$2:$P$1000="KON"))*(($Q$2:$Q$1000&lt;Q6)+($Q$2:$Q$1000=Q6)*(ROW($Q$2:$Q$1000)&lt;ROW())))=0),"Выбрать","")</f>
        <v/>
      </c>
    </row>
    <row r="7" customFormat="false" ht="14.25" hidden="false" customHeight="true" outlineLevel="0" collapsed="false">
      <c r="N7" s="1" t="n">
        <v>519150</v>
      </c>
      <c r="O7" s="1" t="s">
        <v>8</v>
      </c>
      <c r="P7" s="1" t="s">
        <v>10</v>
      </c>
      <c r="Q7" s="1" t="n">
        <v>1229.03</v>
      </c>
      <c r="R7" s="1" t="n">
        <v>202</v>
      </c>
      <c r="S7" s="1" t="n">
        <v>118</v>
      </c>
      <c r="T7" s="1" t="str">
        <f aca="false">IF(AND(OR(P7="RAM",P7="KON"),SUMPRODUCT((ROW($P$2:$P$1000)&gt;=(IFERROR(LOOKUP(2,1/(($M$1:M6&lt;&gt;"")*($M$1:M6&lt;&gt;LOOKUP(2,1/($M$2:M7&lt;&gt;""),$M$2:M7))),ROW($M$1:M6)),1)+MATCH(LOOKUP(2,1/($M$2:M7&lt;&gt;""),$M$2:M7),INDEX($M:$M,IFERROR(LOOKUP(2,1/(($M$1:M6&lt;&gt;"")*($M$1:M6&lt;&gt;LOOKUP(2,1/($M$2:M7&lt;&gt;""),$M$2:M7))),ROW($M$1:M6)),1)+1):M7,0)))*(ROW($P$2:$P$1000)&lt;=IFERROR(MATCH(1,INDEX((M8:$M$1001&lt;&gt;"")*(M8:$M$1001&lt;&gt;LOOKUP(2,1/($M$2:M7&lt;&gt;""),$M$2:M7)),0),0)+ROW()-1,1000))*(($P$2:$P$1000="RAM")+($P$2:$P$1000="KON"))*(($Q$2:$Q$1000&lt;Q7)+($Q$2:$Q$1000=Q7)*(ROW($Q$2:$Q$1000)&lt;ROW())))=0),"Выбрать","")</f>
        <v/>
      </c>
    </row>
    <row r="8" customFormat="false" ht="14.25" hidden="false" customHeight="true" outlineLevel="0" collapsed="false">
      <c r="N8" s="1" t="n">
        <v>526401</v>
      </c>
      <c r="O8" s="1" t="s">
        <v>8</v>
      </c>
      <c r="P8" s="1" t="s">
        <v>10</v>
      </c>
      <c r="Q8" s="1" t="n">
        <v>752.39</v>
      </c>
      <c r="R8" s="1" t="n">
        <v>212</v>
      </c>
      <c r="S8" s="1" t="n">
        <v>128</v>
      </c>
      <c r="T8" s="1" t="str">
        <f aca="false">IF(AND(OR(P8="RAM",P8="KON"),SUMPRODUCT((ROW($P$2:$P$1000)&gt;=(IFERROR(LOOKUP(2,1/(($M$1:M7&lt;&gt;"")*($M$1:M7&lt;&gt;LOOKUP(2,1/($M$2:M8&lt;&gt;""),$M$2:M8))),ROW($M$1:M7)),1)+MATCH(LOOKUP(2,1/($M$2:M8&lt;&gt;""),$M$2:M8),INDEX($M:$M,IFERROR(LOOKUP(2,1/(($M$1:M7&lt;&gt;"")*($M$1:M7&lt;&gt;LOOKUP(2,1/($M$2:M8&lt;&gt;""),$M$2:M8))),ROW($M$1:M7)),1)+1):M8,0)))*(ROW($P$2:$P$1000)&lt;=IFERROR(MATCH(1,INDEX((M9:$M$1001&lt;&gt;"")*(M9:$M$1001&lt;&gt;LOOKUP(2,1/($M$2:M8&lt;&gt;""),$M$2:M8)),0),0)+ROW()-1,1000))*(($P$2:$P$1000="RAM")+($P$2:$P$1000="KON"))*(($Q$2:$Q$1000&lt;Q8)+($Q$2:$Q$1000=Q8)*(ROW($Q$2:$Q$1000)&lt;ROW())))=0),"Выбрать","")</f>
        <v/>
      </c>
    </row>
    <row r="9" customFormat="false" ht="14.25" hidden="false" customHeight="true" outlineLevel="0" collapsed="false">
      <c r="N9" s="1" t="n">
        <v>1520422</v>
      </c>
      <c r="O9" s="1" t="s">
        <v>8</v>
      </c>
      <c r="P9" s="1" t="s">
        <v>10</v>
      </c>
      <c r="Q9" s="1" t="n">
        <v>2735.52</v>
      </c>
      <c r="R9" s="1" t="e">
        <f aca="false">#N/A</f>
        <v>#N/A</v>
      </c>
      <c r="S9" s="1" t="e">
        <f aca="false">#N/A</f>
        <v>#N/A</v>
      </c>
      <c r="T9" s="1" t="str">
        <f aca="false">IF(AND(OR(P9="RAM",P9="KON"),SUMPRODUCT((ROW($P$2:$P$1000)&gt;=(IFERROR(LOOKUP(2,1/(($M$1:M8&lt;&gt;"")*($M$1:M8&lt;&gt;LOOKUP(2,1/($M$2:M9&lt;&gt;""),$M$2:M9))),ROW($M$1:M8)),1)+MATCH(LOOKUP(2,1/($M$2:M9&lt;&gt;""),$M$2:M9),INDEX($M:$M,IFERROR(LOOKUP(2,1/(($M$1:M8&lt;&gt;"")*($M$1:M8&lt;&gt;LOOKUP(2,1/($M$2:M9&lt;&gt;""),$M$2:M9))),ROW($M$1:M8)),1)+1):M9,0)))*(ROW($P$2:$P$1000)&lt;=IFERROR(MATCH(1,INDEX((M10:$M$1001&lt;&gt;"")*(M10:$M$1001&lt;&gt;LOOKUP(2,1/($M$2:M9&lt;&gt;""),$M$2:M9)),0),0)+ROW()-1,1000))*(($P$2:$P$1000="RAM")+($P$2:$P$1000="KON"))*(($Q$2:$Q$1000&lt;Q9)+($Q$2:$Q$1000=Q9)*(ROW($Q$2:$Q$1000)&lt;ROW())))=0),"Выбрать","")</f>
        <v/>
      </c>
    </row>
    <row r="10" customFormat="false" ht="14.25" hidden="false" customHeight="true" outlineLevel="0" collapsed="false">
      <c r="M10" s="1" t="n">
        <v>99008188</v>
      </c>
      <c r="N10" s="1" t="n">
        <v>254877</v>
      </c>
      <c r="O10" s="1" t="s">
        <v>8</v>
      </c>
      <c r="P10" s="1" t="s">
        <v>9</v>
      </c>
      <c r="Q10" s="1" t="n">
        <v>3772.23</v>
      </c>
      <c r="R10" s="1" t="n">
        <v>242</v>
      </c>
      <c r="S10" s="1" t="n">
        <v>158</v>
      </c>
      <c r="T10" s="1" t="str">
        <f aca="false">IF(AND(OR(P10="RAM",P10="KON"),SUMPRODUCT((ROW($P$2:$P$1000)&gt;=(IFERROR(LOOKUP(2,1/(($M$1:M9&lt;&gt;"")*($M$1:M9&lt;&gt;LOOKUP(2,1/($M$2:M10&lt;&gt;""),$M$2:M10))),ROW($M$1:M9)),1)+MATCH(LOOKUP(2,1/($M$2:M10&lt;&gt;""),$M$2:M10),INDEX($M:$M,IFERROR(LOOKUP(2,1/(($M$1:M9&lt;&gt;"")*($M$1:M9&lt;&gt;LOOKUP(2,1/($M$2:M10&lt;&gt;""),$M$2:M10))),ROW($M$1:M9)),1)+1):M10,0)))*(ROW($P$2:$P$1000)&lt;=IFERROR(MATCH(1,INDEX((M11:$M$1001&lt;&gt;"")*(M11:$M$1001&lt;&gt;LOOKUP(2,1/($M$2:M10&lt;&gt;""),$M$2:M10)),0),0)+ROW()-1,1000))*(($P$2:$P$1000="RAM")+($P$2:$P$1000="KON"))*(($Q$2:$Q$1000&lt;Q10)+($Q$2:$Q$1000=Q10)*(ROW($Q$2:$Q$1000)&lt;ROW())))=0),"Выбрать","")</f>
        <v/>
      </c>
    </row>
    <row r="11" customFormat="false" ht="14.25" hidden="false" customHeight="true" outlineLevel="0" collapsed="false">
      <c r="N11" s="1" t="n">
        <v>1487522</v>
      </c>
      <c r="O11" s="1" t="s">
        <v>8</v>
      </c>
      <c r="P11" s="1" t="s">
        <v>10</v>
      </c>
      <c r="Q11" s="1" t="n">
        <v>594.94</v>
      </c>
      <c r="R11" s="1" t="n">
        <v>212</v>
      </c>
      <c r="S11" s="1" t="n">
        <v>128</v>
      </c>
      <c r="T11" s="1" t="str">
        <f aca="false">IF(AND(OR(P11="RAM",P11="KON"),SUMPRODUCT((ROW($P$2:$P$1000)&gt;=(IFERROR(LOOKUP(2,1/(($M$1:M10&lt;&gt;"")*($M$1:M10&lt;&gt;LOOKUP(2,1/($M$2:M11&lt;&gt;""),$M$2:M11))),ROW($M$1:M10)),1)+MATCH(LOOKUP(2,1/($M$2:M11&lt;&gt;""),$M$2:M11),INDEX($M:$M,IFERROR(LOOKUP(2,1/(($M$1:M10&lt;&gt;"")*($M$1:M10&lt;&gt;LOOKUP(2,1/($M$2:M11&lt;&gt;""),$M$2:M11))),ROW($M$1:M10)),1)+1):M11,0)))*(ROW($P$2:$P$1000)&lt;=IFERROR(MATCH(1,INDEX((M12:$M$1001&lt;&gt;"")*(M12:$M$1001&lt;&gt;LOOKUP(2,1/($M$2:M11&lt;&gt;""),$M$2:M11)),0),0)+ROW()-1,1000))*(($P$2:$P$1000="RAM")+($P$2:$P$1000="KON"))*(($Q$2:$Q$1000&lt;Q11)+($Q$2:$Q$1000=Q11)*(ROW($Q$2:$Q$1000)&lt;ROW())))=0),"Выбрать","")</f>
        <v/>
      </c>
    </row>
    <row r="12" customFormat="false" ht="14.25" hidden="false" customHeight="true" outlineLevel="0" collapsed="false">
      <c r="N12" s="1" t="n">
        <v>145211</v>
      </c>
      <c r="O12" s="1" t="s">
        <v>8</v>
      </c>
      <c r="P12" s="1" t="s">
        <v>11</v>
      </c>
      <c r="Q12" s="1" t="n">
        <v>1565.36</v>
      </c>
      <c r="R12" s="1" t="n">
        <v>143</v>
      </c>
      <c r="S12" s="1" t="n">
        <v>59</v>
      </c>
      <c r="T12" s="1" t="str">
        <f aca="false">IF(AND(OR(P12="RAM",P12="KON"),SUMPRODUCT((ROW($P$2:$P$1000)&gt;=(IFERROR(LOOKUP(2,1/(($M$1:M11&lt;&gt;"")*($M$1:M11&lt;&gt;LOOKUP(2,1/($M$2:M12&lt;&gt;""),$M$2:M12))),ROW($M$1:M11)),1)+MATCH(LOOKUP(2,1/($M$2:M12&lt;&gt;""),$M$2:M12),INDEX($M:$M,IFERROR(LOOKUP(2,1/(($M$1:M11&lt;&gt;"")*($M$1:M11&lt;&gt;LOOKUP(2,1/($M$2:M12&lt;&gt;""),$M$2:M12))),ROW($M$1:M11)),1)+1):M12,0)))*(ROW($P$2:$P$1000)&lt;=IFERROR(MATCH(1,INDEX((M13:$M$1001&lt;&gt;"")*(M13:$M$1001&lt;&gt;LOOKUP(2,1/($M$2:M12&lt;&gt;""),$M$2:M12)),0),0)+ROW()-1,1000))*(($P$2:$P$1000="RAM")+($P$2:$P$1000="KON"))*(($Q$2:$Q$1000&lt;Q12)+($Q$2:$Q$1000=Q12)*(ROW($Q$2:$Q$1000)&lt;ROW())))=0),"Выбрать","")</f>
        <v>Выбрать</v>
      </c>
    </row>
    <row r="13" customFormat="false" ht="14.25" hidden="false" customHeight="true" outlineLevel="0" collapsed="false">
      <c r="N13" s="1" t="n">
        <v>1177852</v>
      </c>
      <c r="O13" s="1" t="s">
        <v>8</v>
      </c>
      <c r="P13" s="1" t="s">
        <v>10</v>
      </c>
      <c r="Q13" s="1" t="n">
        <v>368.56</v>
      </c>
      <c r="R13" s="1" t="n">
        <v>202</v>
      </c>
      <c r="S13" s="1" t="n">
        <v>118</v>
      </c>
      <c r="T13" s="1" t="str">
        <f aca="false">IF(AND(OR(P13="RAM",P13="KON"),SUMPRODUCT((ROW($P$2:$P$1000)&gt;=(IFERROR(LOOKUP(2,1/(($M$1:M12&lt;&gt;"")*($M$1:M12&lt;&gt;LOOKUP(2,1/($M$2:M13&lt;&gt;""),$M$2:M13))),ROW($M$1:M12)),1)+MATCH(LOOKUP(2,1/($M$2:M13&lt;&gt;""),$M$2:M13),INDEX($M:$M,IFERROR(LOOKUP(2,1/(($M$1:M12&lt;&gt;"")*($M$1:M12&lt;&gt;LOOKUP(2,1/($M$2:M13&lt;&gt;""),$M$2:M13))),ROW($M$1:M12)),1)+1):M13,0)))*(ROW($P$2:$P$1000)&lt;=IFERROR(MATCH(1,INDEX((M14:$M$1001&lt;&gt;"")*(M14:$M$1001&lt;&gt;LOOKUP(2,1/($M$2:M13&lt;&gt;""),$M$2:M13)),0),0)+ROW()-1,1000))*(($P$2:$P$1000="RAM")+($P$2:$P$1000="KON"))*(($Q$2:$Q$1000&lt;Q13)+($Q$2:$Q$1000=Q13)*(ROW($Q$2:$Q$1000)&lt;ROW())))=0),"Выбрать","")</f>
        <v/>
      </c>
    </row>
    <row r="14" customFormat="false" ht="14.25" hidden="false" customHeight="true" outlineLevel="0" collapsed="false">
      <c r="N14" s="1" t="n">
        <v>445221</v>
      </c>
      <c r="O14" s="1" t="s">
        <v>8</v>
      </c>
      <c r="P14" s="1" t="s">
        <v>10</v>
      </c>
      <c r="Q14" s="1" t="n">
        <v>873.5</v>
      </c>
      <c r="R14" s="1" t="n">
        <v>165</v>
      </c>
      <c r="S14" s="1" t="n">
        <v>81</v>
      </c>
      <c r="T14" s="1" t="str">
        <f aca="false">IF(AND(OR(P14="RAM",P14="KON"),SUMPRODUCT((ROW($P$2:$P$1000)&gt;=(IFERROR(LOOKUP(2,1/(($M$1:M13&lt;&gt;"")*($M$1:M13&lt;&gt;LOOKUP(2,1/($M$2:M14&lt;&gt;""),$M$2:M14))),ROW($M$1:M13)),1)+MATCH(LOOKUP(2,1/($M$2:M14&lt;&gt;""),$M$2:M14),INDEX($M:$M,IFERROR(LOOKUP(2,1/(($M$1:M13&lt;&gt;"")*($M$1:M13&lt;&gt;LOOKUP(2,1/($M$2:M14&lt;&gt;""),$M$2:M14))),ROW($M$1:M13)),1)+1):M14,0)))*(ROW($P$2:$P$1000)&lt;=IFERROR(MATCH(1,INDEX((M15:$M$1001&lt;&gt;"")*(M15:$M$1001&lt;&gt;LOOKUP(2,1/($M$2:M14&lt;&gt;""),$M$2:M14)),0),0)+ROW()-1,1000))*(($P$2:$P$1000="RAM")+($P$2:$P$1000="KON"))*(($Q$2:$Q$1000&lt;Q14)+($Q$2:$Q$1000=Q14)*(ROW($Q$2:$Q$1000)&lt;ROW())))=0),"Выбрать","")</f>
        <v/>
      </c>
    </row>
    <row r="15" customFormat="false" ht="14.25" hidden="false" customHeight="true" outlineLevel="0" collapsed="false">
      <c r="N15" s="1" t="n">
        <v>441155</v>
      </c>
      <c r="O15" s="1" t="s">
        <v>8</v>
      </c>
      <c r="P15" s="1" t="s">
        <v>10</v>
      </c>
      <c r="Q15" s="1" t="n">
        <v>1229.03</v>
      </c>
      <c r="R15" s="1" t="n">
        <v>202</v>
      </c>
      <c r="S15" s="1" t="n">
        <v>118</v>
      </c>
      <c r="T15" s="1" t="str">
        <f aca="false">IF(AND(OR(P15="RAM",P15="KON"),SUMPRODUCT((ROW($P$2:$P$1000)&gt;=(IFERROR(LOOKUP(2,1/(($M$1:M14&lt;&gt;"")*($M$1:M14&lt;&gt;LOOKUP(2,1/($M$2:M15&lt;&gt;""),$M$2:M15))),ROW($M$1:M14)),1)+MATCH(LOOKUP(2,1/($M$2:M15&lt;&gt;""),$M$2:M15),INDEX($M:$M,IFERROR(LOOKUP(2,1/(($M$1:M14&lt;&gt;"")*($M$1:M14&lt;&gt;LOOKUP(2,1/($M$2:M15&lt;&gt;""),$M$2:M15))),ROW($M$1:M14)),1)+1):M15,0)))*(ROW($P$2:$P$1000)&lt;=IFERROR(MATCH(1,INDEX((M16:$M$1001&lt;&gt;"")*(M16:$M$1001&lt;&gt;LOOKUP(2,1/($M$2:M15&lt;&gt;""),$M$2:M15)),0),0)+ROW()-1,1000))*(($P$2:$P$1000="RAM")+($P$2:$P$1000="KON"))*(($Q$2:$Q$1000&lt;Q15)+($Q$2:$Q$1000=Q15)*(ROW($Q$2:$Q$1000)&lt;ROW())))=0),"Выбрать","")</f>
        <v/>
      </c>
    </row>
    <row r="16" customFormat="false" ht="14.25" hidden="false" customHeight="true" outlineLevel="0" collapsed="false">
      <c r="N16" s="1" t="n">
        <v>155221</v>
      </c>
      <c r="O16" s="1" t="s">
        <v>8</v>
      </c>
      <c r="P16" s="1" t="s">
        <v>10</v>
      </c>
      <c r="Q16" s="1" t="n">
        <v>752.39</v>
      </c>
      <c r="R16" s="1" t="n">
        <v>212</v>
      </c>
      <c r="S16" s="1" t="n">
        <v>128</v>
      </c>
      <c r="T16" s="1" t="str">
        <f aca="false">IF(AND(OR(P16="RAM",P16="KON"),SUMPRODUCT((ROW($P$2:$P$1000)&gt;=(IFERROR(LOOKUP(2,1/(($M$1:M15&lt;&gt;"")*($M$1:M15&lt;&gt;LOOKUP(2,1/($M$2:M16&lt;&gt;""),$M$2:M16))),ROW($M$1:M15)),1)+MATCH(LOOKUP(2,1/($M$2:M16&lt;&gt;""),$M$2:M16),INDEX($M:$M,IFERROR(LOOKUP(2,1/(($M$1:M15&lt;&gt;"")*($M$1:M15&lt;&gt;LOOKUP(2,1/($M$2:M16&lt;&gt;""),$M$2:M16))),ROW($M$1:M15)),1)+1):M16,0)))*(ROW($P$2:$P$1000)&lt;=IFERROR(MATCH(1,INDEX((M17:$M$1001&lt;&gt;"")*(M17:$M$1001&lt;&gt;LOOKUP(2,1/($M$2:M16&lt;&gt;""),$M$2:M16)),0),0)+ROW()-1,1000))*(($P$2:$P$1000="RAM")+($P$2:$P$1000="KON"))*(($Q$2:$Q$1000&lt;Q16)+($Q$2:$Q$1000=Q16)*(ROW($Q$2:$Q$1000)&lt;ROW())))=0),"Выбрать","")</f>
        <v/>
      </c>
    </row>
    <row r="17" customFormat="false" ht="14.25" hidden="false" customHeight="true" outlineLevel="0" collapsed="false">
      <c r="N17" s="1" t="n">
        <v>5444445</v>
      </c>
      <c r="O17" s="1" t="s">
        <v>8</v>
      </c>
      <c r="P17" s="1" t="s">
        <v>10</v>
      </c>
      <c r="Q17" s="1" t="n">
        <v>2735.52</v>
      </c>
      <c r="R17" s="1" t="e">
        <f aca="false">#N/A</f>
        <v>#N/A</v>
      </c>
      <c r="S17" s="1" t="e">
        <f aca="false">#N/A</f>
        <v>#N/A</v>
      </c>
      <c r="T17" s="1" t="str">
        <f aca="false">IF(AND(OR(P17="RAM",P17="KON"),SUMPRODUCT((ROW($P$2:$P$1000)&gt;=(IFERROR(LOOKUP(2,1/(($M$1:M16&lt;&gt;"")*($M$1:M16&lt;&gt;LOOKUP(2,1/($M$2:M17&lt;&gt;""),$M$2:M17))),ROW($M$1:M16)),1)+MATCH(LOOKUP(2,1/($M$2:M17&lt;&gt;""),$M$2:M17),INDEX($M:$M,IFERROR(LOOKUP(2,1/(($M$1:M16&lt;&gt;"")*($M$1:M16&lt;&gt;LOOKUP(2,1/($M$2:M17&lt;&gt;""),$M$2:M17))),ROW($M$1:M16)),1)+1):M17,0)))*(ROW($P$2:$P$1000)&lt;=IFERROR(MATCH(1,INDEX((M18:$M$1001&lt;&gt;"")*(M18:$M$1001&lt;&gt;LOOKUP(2,1/($M$2:M17&lt;&gt;""),$M$2:M17)),0),0)+ROW()-1,1000))*(($P$2:$P$1000="RAM")+($P$2:$P$1000="KON"))*(($Q$2:$Q$1000&lt;Q17)+($Q$2:$Q$1000=Q17)*(ROW($Q$2:$Q$1000)&lt;ROW())))=0),"Выбрать","")</f>
        <v/>
      </c>
    </row>
  </sheetData>
  <conditionalFormatting sqref="M10:S17">
    <cfRule type="expression" priority="2" aboveAverage="0" equalAverage="0" bottom="0" percent="0" rank="0" text="" dxfId="0">
      <formula>$T10="Выбрать"</formula>
    </cfRule>
  </conditionalFormatting>
  <conditionalFormatting sqref="M2:T4 M5:S9 T5:T17">
    <cfRule type="expression" priority="3" aboveAverage="0" equalAverage="0" bottom="0" percent="0" rank="0" text="" dxfId="0">
      <formula>$T2="Выбрать"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Наталья Иванова</dc:creator>
  <dc:description/>
  <dc:language>en-US</dc:language>
  <cp:lastModifiedBy>Наталья Иванова</cp:lastModifiedBy>
  <dcterms:modified xsi:type="dcterms:W3CDTF">2026-10-06T01:16:04Z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